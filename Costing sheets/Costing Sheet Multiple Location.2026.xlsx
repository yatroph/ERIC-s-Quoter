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79" firstSheet="0" activeTab="1" autoFilterDateGrouping="1"/>
  </bookViews>
  <sheets>
    <sheet name="Cost Summary" sheetId="1" state="visible" r:id="rId1"/>
    <sheet name="Location 1" sheetId="2" state="visible" r:id="rId2"/>
    <sheet name="Location 2" sheetId="3" state="visible" r:id="rId3"/>
    <sheet name="Location 3" sheetId="4" state="visible" r:id="rId4"/>
    <sheet name="Location 4" sheetId="5" state="visible" r:id="rId5"/>
    <sheet name="Location 5" sheetId="6" state="visible" r:id="rId6"/>
    <sheet name="Location 6" sheetId="7" state="visible" r:id="rId7"/>
    <sheet name="Option 1" sheetId="8" state="visible" r:id="rId8"/>
  </sheets>
  <definedNames>
    <definedName name="p">'Cost Summary'!$B$21</definedName>
    <definedName name="_xlnm.Print_Area" localSheetId="0">'Cost Summary'!$A$1:$J$32</definedName>
    <definedName name="Costing_Sheet_Multiple_Location.2023.xlsx" localSheetId="1">'Cost Summary'!$B$21</definedName>
    <definedName name="_xlnm.Print_Area" localSheetId="1">'Location 1'!$A$1:$P$42</definedName>
    <definedName name="Costing_Sheet_Multiple_Location.2023.xlsx" localSheetId="2">'Cost Summary'!$B$21</definedName>
    <definedName name="_xlnm.Print_Area" localSheetId="2">'Location 2'!$A$1:$P$44</definedName>
    <definedName name="Costing_Sheet_Multiple_Location.2023.xlsx" localSheetId="3">'Cost Summary'!$B$21</definedName>
    <definedName name="_xlnm.Print_Area" localSheetId="3">'Location 3'!$A$1:$P$62</definedName>
    <definedName name="Costing_Sheet_Multiple_Location.2023.xlsx" localSheetId="4">'Cost Summary'!$B$21</definedName>
    <definedName name="_xlnm.Print_Area" localSheetId="4">'Location 4'!$A$1:$P$62</definedName>
    <definedName name="Costing_Sheet_Multiple_Location.2023.xlsx" localSheetId="5">'Cost Summary'!$B$21</definedName>
    <definedName name="_xlnm.Print_Area" localSheetId="5">'Location 5'!$A$1:$P$62</definedName>
    <definedName name="Costing_Sheet_Multiple_Location.2023.xlsx" localSheetId="6">'Cost Summary'!$B$21</definedName>
    <definedName name="_xlnm.Print_Area" localSheetId="6">'Location 6'!$A$1:$P$62</definedName>
    <definedName name="Costing_Sheet_Multiple_Location.2023.xlsx" localSheetId="7">'Cost Summary'!$B$21</definedName>
    <definedName name="_xlnm.Print_Area" localSheetId="7">'Option 1'!$A$1:$P$62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u val="single"/>
      <scheme val="minor"/>
    </font>
    <font>
      <name val="Segoe UI"/>
      <family val="2"/>
      <color rgb="FF000000"/>
      <sz val="11"/>
    </font>
    <font>
      <name val="Calibri"/>
      <family val="2"/>
      <b val="1"/>
      <color rgb="FF0070C0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70C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242">
    <xf numFmtId="0" fontId="0" fillId="0" borderId="0" pivotButton="0" quotePrefix="0" xfId="0"/>
    <xf numFmtId="0" fontId="3" fillId="2" borderId="12" applyAlignment="1" pivotButton="0" quotePrefix="0" xfId="0">
      <alignment vertical="center" wrapText="1"/>
    </xf>
    <xf numFmtId="0" fontId="3" fillId="2" borderId="12" applyAlignment="1" pivotButton="0" quotePrefix="0" xfId="0">
      <alignment horizontal="center" vertical="center" wrapText="1"/>
    </xf>
    <xf numFmtId="164" fontId="3" fillId="2" borderId="12" applyAlignment="1" pivotButton="0" quotePrefix="0" xfId="1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1">
      <alignment horizontal="center" vertical="center" wrapText="1"/>
    </xf>
    <xf numFmtId="0" fontId="4" fillId="0" borderId="3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4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164" fontId="5" fillId="0" borderId="8" applyAlignment="1" pivotButton="0" quotePrefix="0" xfId="0">
      <alignment horizontal="center" vertical="center" wrapText="1"/>
    </xf>
    <xf numFmtId="164" fontId="5" fillId="0" borderId="8" applyAlignment="1" pivotButton="0" quotePrefix="0" xfId="1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center" wrapText="1"/>
    </xf>
    <xf numFmtId="0" fontId="4" fillId="0" borderId="3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center" vertical="center"/>
    </xf>
    <xf numFmtId="0" fontId="5" fillId="0" borderId="1" applyAlignment="1" pivotButton="0" quotePrefix="1" xfId="0">
      <alignment horizontal="left" vertical="center" wrapText="1"/>
    </xf>
    <xf numFmtId="164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6" fillId="6" borderId="17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164" fontId="3" fillId="5" borderId="12" applyAlignment="1" pivotButton="0" quotePrefix="0" xfId="1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6" fillId="3" borderId="12" applyAlignment="1" pivotButton="0" quotePrefix="0" xfId="1">
      <alignment horizontal="center" vertical="center" wrapText="1"/>
    </xf>
    <xf numFmtId="164" fontId="5" fillId="3" borderId="8" applyAlignment="1" pivotButton="0" quotePrefix="0" xfId="1">
      <alignment horizontal="center" vertical="center" wrapText="1"/>
    </xf>
    <xf numFmtId="164" fontId="5" fillId="0" borderId="24" applyAlignment="1" pivotButton="0" quotePrefix="0" xfId="1">
      <alignment horizontal="center" vertical="center" wrapText="1"/>
    </xf>
    <xf numFmtId="0" fontId="5" fillId="3" borderId="25" applyAlignment="1" pivotButton="0" quotePrefix="0" xfId="1">
      <alignment horizontal="center" vertical="center" wrapText="1"/>
    </xf>
    <xf numFmtId="0" fontId="5" fillId="3" borderId="26" applyAlignment="1" pivotButton="0" quotePrefix="0" xfId="1">
      <alignment horizontal="center" vertical="center" wrapText="1"/>
    </xf>
    <xf numFmtId="164" fontId="5" fillId="3" borderId="26" applyAlignment="1" pivotButton="0" quotePrefix="0" xfId="1">
      <alignment horizontal="center" vertical="center" wrapText="1"/>
    </xf>
    <xf numFmtId="164" fontId="5" fillId="0" borderId="27" applyAlignment="1" pivotButton="0" quotePrefix="0" xfId="1">
      <alignment horizontal="center" vertical="center" wrapText="1"/>
    </xf>
    <xf numFmtId="164" fontId="5" fillId="6" borderId="28" applyAlignment="1" pivotButton="0" quotePrefix="0" xfId="1">
      <alignment horizontal="center" vertical="center" wrapText="1"/>
    </xf>
    <xf numFmtId="164" fontId="5" fillId="0" borderId="29" applyAlignment="1" pivotButton="0" quotePrefix="0" xfId="1">
      <alignment horizontal="center" vertical="center" wrapText="1"/>
    </xf>
    <xf numFmtId="0" fontId="5" fillId="3" borderId="30" applyAlignment="1" pivotButton="0" quotePrefix="0" xfId="1">
      <alignment horizontal="center" vertical="center" wrapText="1"/>
    </xf>
    <xf numFmtId="0" fontId="5" fillId="3" borderId="8" applyAlignment="1" pivotButton="0" quotePrefix="0" xfId="1">
      <alignment horizontal="center" vertical="center" wrapText="1"/>
    </xf>
    <xf numFmtId="164" fontId="5" fillId="6" borderId="31" applyAlignment="1" pivotButton="0" quotePrefix="0" xfId="1">
      <alignment horizontal="center" vertical="center" wrapText="1"/>
    </xf>
    <xf numFmtId="164" fontId="5" fillId="6" borderId="32" applyAlignment="1" pivotButton="0" quotePrefix="0" xfId="1">
      <alignment horizontal="center" vertical="center" wrapText="1"/>
    </xf>
    <xf numFmtId="164" fontId="4" fillId="0" borderId="33" applyAlignment="1" pivotButton="0" quotePrefix="0" xfId="0">
      <alignment horizontal="center" vertical="center" wrapText="1"/>
    </xf>
    <xf numFmtId="0" fontId="4" fillId="3" borderId="37" applyAlignment="1" pivotButton="0" quotePrefix="0" xfId="0">
      <alignment horizontal="center" vertical="center" wrapText="1"/>
    </xf>
    <xf numFmtId="164" fontId="4" fillId="0" borderId="37" applyAlignment="1" pivotButton="0" quotePrefix="0" xfId="0">
      <alignment horizontal="center" vertical="center" wrapText="1"/>
    </xf>
    <xf numFmtId="164" fontId="4" fillId="0" borderId="3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164" fontId="4" fillId="6" borderId="39" applyAlignment="1" pivotButton="0" quotePrefix="0" xfId="1">
      <alignment horizontal="center" vertical="center" wrapText="1"/>
    </xf>
    <xf numFmtId="164" fontId="5" fillId="3" borderId="1" applyAlignment="1" pivotButton="0" quotePrefix="0" xfId="1">
      <alignment horizontal="center" vertical="center" wrapText="1"/>
    </xf>
    <xf numFmtId="164" fontId="5" fillId="0" borderId="2" applyAlignment="1" pivotButton="0" quotePrefix="0" xfId="1">
      <alignment horizontal="center" vertical="center" wrapText="1"/>
    </xf>
    <xf numFmtId="0" fontId="5" fillId="3" borderId="40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164" fontId="5" fillId="0" borderId="33" applyAlignment="1" pivotButton="0" quotePrefix="0" xfId="1">
      <alignment horizontal="center" vertical="center" wrapText="1"/>
    </xf>
    <xf numFmtId="4" fontId="10" fillId="0" borderId="0" pivotButton="0" quotePrefix="0" xfId="0"/>
    <xf numFmtId="165" fontId="2" fillId="0" borderId="0" applyAlignment="1" pivotButton="0" quotePrefix="0" xfId="0">
      <alignment vertical="center"/>
    </xf>
    <xf numFmtId="164" fontId="4" fillId="0" borderId="2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0" borderId="33" applyAlignment="1" pivotButton="0" quotePrefix="0" xfId="0">
      <alignment vertical="center" wrapText="1"/>
    </xf>
    <xf numFmtId="164" fontId="4" fillId="6" borderId="31" applyAlignment="1" pivotButton="0" quotePrefix="0" xfId="1">
      <alignment horizontal="center" vertical="center" wrapText="1"/>
    </xf>
    <xf numFmtId="164" fontId="4" fillId="0" borderId="38" applyAlignment="1" pivotButton="0" quotePrefix="0" xfId="0">
      <alignment vertical="center" wrapText="1"/>
    </xf>
    <xf numFmtId="0" fontId="3" fillId="5" borderId="12" applyAlignment="1" pivotButton="0" quotePrefix="0" xfId="0">
      <alignment vertical="center" wrapText="1"/>
    </xf>
    <xf numFmtId="164" fontId="5" fillId="6" borderId="28" applyAlignment="1" pivotButton="0" quotePrefix="0" xfId="0">
      <alignment horizontal="center" vertical="center" wrapText="1"/>
    </xf>
    <xf numFmtId="164" fontId="5" fillId="6" borderId="32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  <xf numFmtId="164" fontId="4" fillId="6" borderId="39" applyAlignment="1" pivotButton="0" quotePrefix="0" xfId="0">
      <alignment horizontal="center" vertical="center"/>
    </xf>
    <xf numFmtId="164" fontId="7" fillId="6" borderId="1" applyAlignment="1" pivotButton="0" quotePrefix="0" xfId="0">
      <alignment vertical="center"/>
    </xf>
    <xf numFmtId="164" fontId="7" fillId="7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1" fillId="0" borderId="0" pivotButton="0" quotePrefix="0" xfId="0"/>
    <xf numFmtId="0" fontId="11" fillId="0" borderId="1" pivotButton="0" quotePrefix="0" xfId="0"/>
    <xf numFmtId="164" fontId="4" fillId="0" borderId="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165" fontId="2" fillId="0" borderId="8" applyAlignment="1" pivotButton="0" quotePrefix="0" xfId="0">
      <alignment horizontal="center" vertical="center"/>
    </xf>
    <xf numFmtId="165" fontId="13" fillId="0" borderId="8" applyAlignment="1" pivotButton="0" quotePrefix="0" xfId="0">
      <alignment horizontal="center" vertical="center"/>
    </xf>
    <xf numFmtId="165" fontId="14" fillId="0" borderId="8" applyAlignment="1" pivotButton="0" quotePrefix="0" xfId="0">
      <alignment horizontal="center" vertical="center"/>
    </xf>
    <xf numFmtId="165" fontId="12" fillId="0" borderId="8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 wrapText="1"/>
    </xf>
    <xf numFmtId="165" fontId="2" fillId="0" borderId="49" applyAlignment="1" pivotButton="0" quotePrefix="0" xfId="0">
      <alignment horizontal="center" vertical="center"/>
    </xf>
    <xf numFmtId="165" fontId="2" fillId="0" borderId="5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165" fontId="2" fillId="0" borderId="53" applyAlignment="1" pivotButton="0" quotePrefix="0" xfId="0">
      <alignment horizontal="center" vertical="center"/>
    </xf>
    <xf numFmtId="165" fontId="2" fillId="0" borderId="54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53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center" vertical="center" wrapText="1"/>
    </xf>
    <xf numFmtId="164" fontId="5" fillId="3" borderId="4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49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wrapText="1"/>
    </xf>
    <xf numFmtId="164" fontId="5" fillId="3" borderId="49" applyAlignment="1" pivotButton="0" quotePrefix="0" xfId="0">
      <alignment horizontal="center" vertical="center" wrapText="1"/>
    </xf>
    <xf numFmtId="164" fontId="5" fillId="3" borderId="50" applyAlignment="1" pivotButton="0" quotePrefix="0" xfId="0">
      <alignment horizontal="center" vertical="center" wrapText="1"/>
    </xf>
    <xf numFmtId="164" fontId="5" fillId="0" borderId="49" applyAlignment="1" pivotButton="0" quotePrefix="0" xfId="0">
      <alignment horizontal="center" vertical="center" wrapText="1"/>
    </xf>
    <xf numFmtId="164" fontId="5" fillId="0" borderId="50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left" vertical="center" wrapText="1"/>
    </xf>
    <xf numFmtId="0" fontId="4" fillId="0" borderId="5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 wrapText="1"/>
    </xf>
    <xf numFmtId="0" fontId="3" fillId="5" borderId="15" applyAlignment="1" pivotButton="0" quotePrefix="0" xfId="0">
      <alignment horizontal="center" vertical="center" wrapText="1"/>
    </xf>
    <xf numFmtId="164" fontId="3" fillId="5" borderId="13" applyAlignment="1" pivotButton="0" quotePrefix="0" xfId="1">
      <alignment horizontal="center" vertical="center" wrapText="1"/>
    </xf>
    <xf numFmtId="164" fontId="3" fillId="5" borderId="15" applyAlignment="1" pivotButton="0" quotePrefix="0" xfId="1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9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164" fontId="5" fillId="3" borderId="47" applyAlignment="1" pivotButton="0" quotePrefix="0" xfId="0">
      <alignment horizontal="center" vertical="center" wrapText="1"/>
    </xf>
    <xf numFmtId="164" fontId="5" fillId="3" borderId="48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4" fontId="4" fillId="0" borderId="42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 wrapText="1"/>
    </xf>
    <xf numFmtId="164" fontId="4" fillId="0" borderId="43" applyAlignment="1" pivotButton="0" quotePrefix="0" xfId="0">
      <alignment horizontal="center" vertical="center" wrapText="1"/>
    </xf>
    <xf numFmtId="164" fontId="4" fillId="0" borderId="44" applyAlignment="1" pivotButton="0" quotePrefix="0" xfId="0">
      <alignment horizontal="center" vertical="center" wrapText="1"/>
    </xf>
    <xf numFmtId="164" fontId="4" fillId="0" borderId="45" applyAlignment="1" pivotButton="0" quotePrefix="0" xfId="0">
      <alignment horizontal="center" vertical="center" wrapText="1"/>
    </xf>
    <xf numFmtId="164" fontId="4" fillId="0" borderId="41" applyAlignment="1" pivotButton="0" quotePrefix="0" xfId="0">
      <alignment horizontal="center" vertical="center" wrapText="1"/>
    </xf>
    <xf numFmtId="164" fontId="4" fillId="0" borderId="4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3" fillId="5" borderId="17" applyAlignment="1" pivotButton="0" quotePrefix="0" xfId="0">
      <alignment horizontal="center" vertical="center" wrapText="1"/>
    </xf>
    <xf numFmtId="0" fontId="3" fillId="5" borderId="23" applyAlignment="1" pivotButton="0" quotePrefix="0" xfId="0">
      <alignment horizontal="center" vertical="center" wrapText="1"/>
    </xf>
    <xf numFmtId="0" fontId="3" fillId="5" borderId="14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6" fillId="6" borderId="23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 wrapText="1"/>
    </xf>
    <xf numFmtId="0" fontId="2" fillId="0" borderId="7" applyAlignment="1" pivotButton="0" quotePrefix="0" xfId="0">
      <alignment vertical="center"/>
    </xf>
    <xf numFmtId="0" fontId="8" fillId="0" borderId="12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5" fontId="2" fillId="0" borderId="8" applyAlignment="1" pivotButton="0" quotePrefix="0" xfId="0">
      <alignment horizontal="center" vertical="center"/>
    </xf>
    <xf numFmtId="165" fontId="13" fillId="0" borderId="8" applyAlignment="1" pivotButton="0" quotePrefix="0" xfId="0">
      <alignment horizontal="center" vertical="center"/>
    </xf>
    <xf numFmtId="165" fontId="14" fillId="0" borderId="8" applyAlignment="1" pivotButton="0" quotePrefix="0" xfId="0">
      <alignment horizontal="center" vertical="center"/>
    </xf>
    <xf numFmtId="165" fontId="12" fillId="0" borderId="8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5" fontId="2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5" fontId="2" fillId="0" borderId="53" applyAlignment="1" pivotButton="0" quotePrefix="0" xfId="0">
      <alignment horizontal="center" vertical="center"/>
    </xf>
    <xf numFmtId="0" fontId="0" fillId="0" borderId="53" pivotButton="0" quotePrefix="0" xfId="0"/>
    <xf numFmtId="165" fontId="2" fillId="0" borderId="1" applyAlignment="1" pivotButton="0" quotePrefix="0" xfId="0">
      <alignment vertical="center"/>
    </xf>
    <xf numFmtId="165" fontId="2" fillId="0" borderId="55" applyAlignment="1" pivotButton="0" quotePrefix="0" xfId="0">
      <alignment horizontal="center" vertical="center"/>
    </xf>
    <xf numFmtId="0" fontId="0" fillId="0" borderId="50" pivotButton="0" quotePrefix="0" xfId="0"/>
    <xf numFmtId="165" fontId="2" fillId="0" borderId="0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 wrapText="1"/>
    </xf>
    <xf numFmtId="0" fontId="0" fillId="0" borderId="23" pivotButton="0" quotePrefix="0" xfId="0"/>
    <xf numFmtId="0" fontId="4" fillId="0" borderId="59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164" fontId="4" fillId="0" borderId="5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5" fillId="0" borderId="62" applyAlignment="1" pivotButton="0" quotePrefix="0" xfId="0">
      <alignment horizontal="center" vertical="center" wrapText="1"/>
    </xf>
    <xf numFmtId="0" fontId="0" fillId="0" borderId="48" pivotButton="0" quotePrefix="0" xfId="0"/>
    <xf numFmtId="0" fontId="5" fillId="0" borderId="55" applyAlignment="1" pivotButton="0" quotePrefix="0" xfId="0">
      <alignment horizontal="center" vertical="center" wrapText="1"/>
    </xf>
    <xf numFmtId="164" fontId="5" fillId="3" borderId="62" applyAlignment="1" pivotButton="0" quotePrefix="0" xfId="0">
      <alignment horizontal="center" vertical="center" wrapText="1"/>
    </xf>
    <xf numFmtId="164" fontId="5" fillId="0" borderId="55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0" fillId="0" borderId="52" pivotButton="0" quotePrefix="0" xfId="0"/>
    <xf numFmtId="164" fontId="5" fillId="3" borderId="55" applyAlignment="1" pivotButton="0" quotePrefix="0" xfId="0">
      <alignment horizontal="center" vertical="center" wrapText="1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topLeftCell="A5" zoomScale="80" zoomScaleNormal="80" workbookViewId="0">
      <selection activeCell="C18" sqref="C18"/>
    </sheetView>
  </sheetViews>
  <sheetFormatPr baseColWidth="8" defaultRowHeight="15.75"/>
  <cols>
    <col width="9.140625" customWidth="1" style="27" min="1" max="1"/>
    <col width="31.28515625" bestFit="1" customWidth="1" style="27" min="2" max="2"/>
    <col width="14.140625" customWidth="1" style="27" min="3" max="3"/>
    <col width="8.5703125" customWidth="1" style="27" min="4" max="4"/>
    <col width="9.42578125" customWidth="1" style="27" min="5" max="5"/>
    <col width="15.7109375" customWidth="1" style="27" min="6" max="6"/>
    <col width="15.42578125" customWidth="1" style="27" min="7" max="7"/>
    <col width="18.42578125" bestFit="1" customWidth="1" style="27" min="8" max="8"/>
    <col width="14.85546875" customWidth="1" style="27" min="9" max="9"/>
    <col width="22" customWidth="1" style="27" min="10" max="10"/>
    <col width="9.140625" customWidth="1" style="27" min="11" max="16384"/>
  </cols>
  <sheetData>
    <row r="1" ht="15.75" customHeight="1">
      <c r="A1" s="192" t="inlineStr">
        <is>
          <t xml:space="preserve">Customer and Project Scope - </t>
        </is>
      </c>
      <c r="B1" s="193" t="n"/>
      <c r="C1" s="193" t="n"/>
      <c r="D1" s="193" t="n"/>
      <c r="E1" s="193" t="n"/>
      <c r="F1" s="193" t="n"/>
      <c r="G1" s="193" t="n"/>
      <c r="H1" s="193" t="n"/>
      <c r="I1" s="193" t="n"/>
      <c r="J1" s="194" t="n"/>
    </row>
    <row r="2" ht="16.5" customHeight="1" thickBot="1">
      <c r="A2" s="195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7" t="n"/>
    </row>
    <row r="3" ht="19.5" customHeight="1" thickBot="1">
      <c r="A3" s="150" t="inlineStr">
        <is>
          <t>AINSWORTH LABOUR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9" t="n"/>
    </row>
    <row r="4" ht="19.5" customHeight="1" thickBot="1">
      <c r="A4" s="1" t="inlineStr">
        <is>
          <t>Item</t>
        </is>
      </c>
      <c r="B4" s="1" t="inlineStr">
        <is>
          <t>Task</t>
        </is>
      </c>
      <c r="C4" s="2" t="inlineStr">
        <is>
          <t># of techs</t>
        </is>
      </c>
      <c r="D4" s="2" t="inlineStr">
        <is>
          <t>Days</t>
        </is>
      </c>
      <c r="E4" s="2" t="inlineStr">
        <is>
          <t>Hours</t>
        </is>
      </c>
      <c r="F4" s="2" t="inlineStr">
        <is>
          <t>Total Hours</t>
        </is>
      </c>
      <c r="G4" s="3" t="inlineStr">
        <is>
          <t>COST</t>
        </is>
      </c>
      <c r="H4" s="3" t="inlineStr">
        <is>
          <t>Subtotal 1</t>
        </is>
      </c>
      <c r="I4" s="2" t="inlineStr">
        <is>
          <t>Margin</t>
        </is>
      </c>
      <c r="J4" s="2" t="inlineStr">
        <is>
          <t>Subtotal 2</t>
        </is>
      </c>
    </row>
    <row r="5" ht="34.5" customHeight="1" thickBot="1">
      <c r="A5" s="150" t="inlineStr">
        <is>
          <t>Project Management</t>
        </is>
      </c>
      <c r="B5" s="198" t="n"/>
      <c r="C5" s="198" t="n"/>
      <c r="D5" s="198" t="n"/>
      <c r="E5" s="198" t="n"/>
      <c r="F5" s="198" t="n"/>
      <c r="G5" s="198" t="n"/>
      <c r="H5" s="198" t="n"/>
      <c r="I5" s="198" t="n"/>
      <c r="J5" s="199" t="n"/>
    </row>
    <row r="6">
      <c r="A6" s="156" t="n">
        <v>1</v>
      </c>
      <c r="B6" s="24" t="inlineStr">
        <is>
          <t>Engineering/Meetings</t>
        </is>
      </c>
      <c r="C6" s="13" t="n">
        <v>0</v>
      </c>
      <c r="D6" s="13" t="n">
        <v>0</v>
      </c>
      <c r="E6" s="13" t="n"/>
      <c r="F6" s="13">
        <f>C6*D6*E6</f>
        <v/>
      </c>
      <c r="G6" s="39" t="n">
        <v>90</v>
      </c>
      <c r="H6" s="16">
        <f>F6*G6</f>
        <v/>
      </c>
      <c r="I6" s="5" t="n">
        <v>0.85</v>
      </c>
      <c r="J6" s="16">
        <f>H6/I6</f>
        <v/>
      </c>
    </row>
    <row r="7">
      <c r="A7" s="156" t="n">
        <v>2</v>
      </c>
      <c r="B7" s="4" t="inlineStr">
        <is>
          <t>Project Management</t>
        </is>
      </c>
      <c r="C7" s="13" t="n">
        <v>0.05</v>
      </c>
      <c r="D7" s="13" t="n">
        <v>1</v>
      </c>
      <c r="E7" s="13" t="n">
        <v>1</v>
      </c>
      <c r="F7" s="13">
        <f>C7*D7*E7</f>
        <v/>
      </c>
      <c r="G7" s="39">
        <f>J6+J8+J9+J10+J11+J12+J16+J27+J32</f>
        <v/>
      </c>
      <c r="H7" s="16">
        <f>F7*G7</f>
        <v/>
      </c>
      <c r="I7" s="5" t="n">
        <v>0.85</v>
      </c>
      <c r="J7" s="6">
        <f>H7/I7</f>
        <v/>
      </c>
    </row>
    <row r="8" ht="15.75" customFormat="1" customHeight="1" s="21">
      <c r="A8" s="156" t="n">
        <v>3</v>
      </c>
      <c r="B8" s="4" t="inlineStr">
        <is>
          <t>ESA Submissions</t>
        </is>
      </c>
      <c r="C8" s="13" t="n"/>
      <c r="D8" s="13" t="n"/>
      <c r="E8" s="13" t="n"/>
      <c r="F8" s="13">
        <f>C8*D8*E8</f>
        <v/>
      </c>
      <c r="G8" s="39" t="n">
        <v>2000</v>
      </c>
      <c r="H8" s="16">
        <f>F8*G8</f>
        <v/>
      </c>
      <c r="I8" s="5" t="n">
        <v>0.85</v>
      </c>
      <c r="J8" s="6">
        <f>H8/I8</f>
        <v/>
      </c>
      <c r="N8" s="27" t="n"/>
    </row>
    <row r="9">
      <c r="A9" s="156" t="n">
        <v>4</v>
      </c>
      <c r="B9" s="4" t="inlineStr">
        <is>
          <t>Misc. Subcontractors</t>
        </is>
      </c>
      <c r="C9" s="13" t="n">
        <v>0.05</v>
      </c>
      <c r="D9" s="13" t="n">
        <v>1</v>
      </c>
      <c r="E9" s="13" t="n">
        <v>1</v>
      </c>
      <c r="F9" s="13">
        <f>C9*D9*E9</f>
        <v/>
      </c>
      <c r="G9" s="39">
        <f>'Location 1'!P37+'Location 2'!P33+'Location 3'!P36+'Location 4'!P36+'Location 5'!P36+'Location 6'!P36+'Option 1'!P36</f>
        <v/>
      </c>
      <c r="H9" s="16">
        <f>F9*G9</f>
        <v/>
      </c>
      <c r="I9" s="5" t="n">
        <v>0.85</v>
      </c>
      <c r="J9" s="6">
        <f>H9/I9</f>
        <v/>
      </c>
    </row>
    <row r="10">
      <c r="A10" s="156" t="n">
        <v>5</v>
      </c>
      <c r="B10" s="4" t="inlineStr">
        <is>
          <t>Misc. Materials</t>
        </is>
      </c>
      <c r="C10" s="13" t="n">
        <v>0.05</v>
      </c>
      <c r="D10" s="13" t="n">
        <v>1</v>
      </c>
      <c r="E10" s="13" t="n">
        <v>1</v>
      </c>
      <c r="F10" s="13">
        <f>C10*D10*E10</f>
        <v/>
      </c>
      <c r="G10" s="39">
        <f>'Location 1'!P42+'Location 2'!P44+'Location 3'!P62+'Location 4'!P62+'Location 5'!P62+'Location 6'!P62+'Option 1'!P62</f>
        <v/>
      </c>
      <c r="H10" s="16">
        <f>F10*G10</f>
        <v/>
      </c>
      <c r="I10" s="5" t="n">
        <v>0.85</v>
      </c>
      <c r="J10" s="6">
        <f>H10/I10</f>
        <v/>
      </c>
    </row>
    <row r="11">
      <c r="A11" s="156" t="n">
        <v>6</v>
      </c>
      <c r="B11" s="4" t="inlineStr">
        <is>
          <t>Health and Safety</t>
        </is>
      </c>
      <c r="C11" s="13" t="n"/>
      <c r="D11" s="13" t="n"/>
      <c r="E11" s="13" t="n"/>
      <c r="F11" s="13">
        <f>C11*D11*E11</f>
        <v/>
      </c>
      <c r="G11" s="39" t="n">
        <v>80</v>
      </c>
      <c r="H11" s="16">
        <f>F11*G11</f>
        <v/>
      </c>
      <c r="I11" s="5" t="n">
        <v>0.85</v>
      </c>
      <c r="J11" s="6">
        <f>H11/I11</f>
        <v/>
      </c>
    </row>
    <row r="12">
      <c r="A12" s="156" t="n">
        <v>7</v>
      </c>
      <c r="B12" s="4" t="inlineStr">
        <is>
          <t>Lodging</t>
        </is>
      </c>
      <c r="C12" s="13" t="n"/>
      <c r="D12" s="13" t="n"/>
      <c r="E12" s="13" t="n"/>
      <c r="F12" s="13">
        <f>C12*D12*E12</f>
        <v/>
      </c>
      <c r="G12" s="39" t="n"/>
      <c r="H12" s="16">
        <f>F12*G12</f>
        <v/>
      </c>
      <c r="I12" s="5" t="n">
        <v>0.85</v>
      </c>
      <c r="J12" s="6">
        <f>H12/I12</f>
        <v/>
      </c>
    </row>
    <row r="13" ht="15.75" customFormat="1" customHeight="1" s="21">
      <c r="A13" s="157" t="inlineStr">
        <is>
          <t>Total Management</t>
        </is>
      </c>
      <c r="B13" s="200" t="n"/>
      <c r="C13" s="7" t="n"/>
      <c r="D13" s="7" t="n"/>
      <c r="E13" s="7" t="n"/>
      <c r="F13" s="8">
        <f>SUM(F6:F12)</f>
        <v/>
      </c>
      <c r="G13" s="9" t="n"/>
      <c r="H13" s="10">
        <f>SUM(H6:H12)</f>
        <v/>
      </c>
      <c r="I13" s="9" t="n"/>
      <c r="J13" s="11">
        <f>SUM(J6:J12)</f>
        <v/>
      </c>
    </row>
    <row r="14" ht="34.5" customFormat="1" customHeight="1" s="21">
      <c r="A14" s="155" t="n"/>
      <c r="B14" s="200" t="n"/>
      <c r="C14" s="200" t="n"/>
      <c r="D14" s="200" t="n"/>
      <c r="E14" s="200" t="n"/>
      <c r="F14" s="200" t="n"/>
      <c r="G14" s="200" t="n"/>
      <c r="H14" s="200" t="n"/>
      <c r="I14" s="200" t="n"/>
      <c r="J14" s="201" t="n"/>
    </row>
    <row r="15" customFormat="1" s="21">
      <c r="A15" s="151" t="inlineStr">
        <is>
          <t>Labour</t>
        </is>
      </c>
      <c r="B15" s="200" t="n"/>
      <c r="C15" s="200" t="n"/>
      <c r="D15" s="200" t="n"/>
      <c r="E15" s="200" t="n"/>
      <c r="F15" s="200" t="n"/>
      <c r="G15" s="200" t="n"/>
      <c r="H15" s="200" t="n"/>
      <c r="I15" s="200" t="n"/>
      <c r="J15" s="201" t="n"/>
    </row>
    <row r="16" customFormat="1" s="21">
      <c r="A16" s="155" t="n">
        <v>1</v>
      </c>
      <c r="B16" s="4" t="inlineStr">
        <is>
          <t>Other</t>
        </is>
      </c>
      <c r="C16" s="5" t="n"/>
      <c r="D16" s="5" t="n"/>
      <c r="E16" s="5" t="n"/>
      <c r="F16" s="5">
        <f>C16*D16*E16</f>
        <v/>
      </c>
      <c r="G16" s="6" t="n"/>
      <c r="H16" s="6">
        <f>F16*G16</f>
        <v/>
      </c>
      <c r="I16" s="5" t="n">
        <v>0.85</v>
      </c>
      <c r="J16" s="6">
        <f>H16/I16</f>
        <v/>
      </c>
    </row>
    <row r="17" customFormat="1" s="21">
      <c r="A17" s="151" t="inlineStr">
        <is>
          <t>Sub Total Labour</t>
        </is>
      </c>
      <c r="B17" s="200" t="n"/>
      <c r="C17" s="200" t="n"/>
      <c r="D17" s="200" t="n"/>
      <c r="E17" s="201" t="n"/>
      <c r="F17" s="8">
        <f>SUM(F16:F16)</f>
        <v/>
      </c>
      <c r="G17" s="8" t="n"/>
      <c r="H17" s="10">
        <f>SUM(H16:H16)</f>
        <v/>
      </c>
      <c r="I17" s="5" t="n"/>
      <c r="J17" s="11">
        <f>SUM(J16:J16)</f>
        <v/>
      </c>
    </row>
    <row r="18" ht="16.5" customFormat="1" customHeight="1" s="21">
      <c r="A18" s="157" t="inlineStr">
        <is>
          <t>Subtotal Labour</t>
        </is>
      </c>
      <c r="B18" s="200" t="n"/>
      <c r="C18" s="158" t="n"/>
      <c r="D18" s="158" t="n"/>
      <c r="E18" s="158" t="n"/>
      <c r="F18" s="8">
        <f>F13+F17</f>
        <v/>
      </c>
      <c r="G18" s="8" t="n"/>
      <c r="H18" s="10">
        <f>H13+H17</f>
        <v/>
      </c>
      <c r="I18" s="12" t="n"/>
      <c r="J18" s="11">
        <f>J13+J17</f>
        <v/>
      </c>
    </row>
    <row r="19" ht="19.5" customFormat="1" customHeight="1" s="21" thickBot="1">
      <c r="A19" s="147" t="inlineStr">
        <is>
          <t>Sheet Cost Summary</t>
        </is>
      </c>
      <c r="B19" s="202" t="n"/>
      <c r="C19" s="202" t="n"/>
      <c r="D19" s="202" t="n"/>
      <c r="E19" s="202" t="n"/>
      <c r="F19" s="202" t="n"/>
      <c r="G19" s="202" t="n"/>
      <c r="H19" s="202" t="n"/>
      <c r="I19" s="202" t="n"/>
      <c r="J19" s="202" t="n"/>
    </row>
    <row r="20" ht="38.25" customFormat="1" customHeight="1" s="21" thickBot="1">
      <c r="A20" s="1" t="inlineStr">
        <is>
          <t>Item</t>
        </is>
      </c>
      <c r="B20" s="1" t="inlineStr">
        <is>
          <t>Task</t>
        </is>
      </c>
      <c r="C20" s="2" t="inlineStr">
        <is>
          <t>Surcharge</t>
        </is>
      </c>
      <c r="D20" s="2" t="inlineStr">
        <is>
          <t>Days/Units</t>
        </is>
      </c>
      <c r="E20" s="2" t="inlineStr">
        <is>
          <t>Other</t>
        </is>
      </c>
      <c r="F20" s="2" t="inlineStr">
        <is>
          <t>Total Surcharge</t>
        </is>
      </c>
      <c r="G20" s="3" t="inlineStr">
        <is>
          <t>Unit Price</t>
        </is>
      </c>
      <c r="H20" s="3" t="inlineStr">
        <is>
          <t>Subtotal 1</t>
        </is>
      </c>
      <c r="I20" s="2" t="inlineStr">
        <is>
          <t>Margin</t>
        </is>
      </c>
      <c r="J20" s="2" t="inlineStr">
        <is>
          <t>Subtotal 2</t>
        </is>
      </c>
    </row>
    <row r="21" ht="16.5" customFormat="1" customHeight="1" s="21">
      <c r="A21" s="13" t="n">
        <v>1</v>
      </c>
      <c r="B21" s="78">
        <f>'Location 1'!R1</f>
        <v/>
      </c>
      <c r="C21" s="13" t="n">
        <v>1</v>
      </c>
      <c r="D21" s="13" t="n">
        <v>1</v>
      </c>
      <c r="E21" s="13" t="n">
        <v>1</v>
      </c>
      <c r="F21" s="13">
        <f>C21*D21*E21</f>
        <v/>
      </c>
      <c r="G21" s="15">
        <f>'Location 1'!P53</f>
        <v/>
      </c>
      <c r="H21" s="15">
        <f>(F21*G21)</f>
        <v/>
      </c>
      <c r="I21" s="13" t="n">
        <v>1</v>
      </c>
      <c r="J21" s="16">
        <f>H21/I21</f>
        <v/>
      </c>
    </row>
    <row r="22" ht="16.5" customFormat="1" customHeight="1" s="21">
      <c r="A22" s="5" t="n">
        <v>2</v>
      </c>
      <c r="B22" s="79">
        <f>'Location 2'!R1</f>
        <v/>
      </c>
      <c r="C22" s="13" t="n">
        <v>1</v>
      </c>
      <c r="D22" s="13" t="n">
        <v>1</v>
      </c>
      <c r="E22" s="13" t="n">
        <v>1</v>
      </c>
      <c r="F22" s="13">
        <f>C22*D22*E22</f>
        <v/>
      </c>
      <c r="G22" s="15">
        <f>'Location 2'!P55</f>
        <v/>
      </c>
      <c r="H22" s="15">
        <f>(F22*G22)</f>
        <v/>
      </c>
      <c r="I22" s="13" t="n">
        <v>1</v>
      </c>
      <c r="J22" s="6">
        <f>H22/I22</f>
        <v/>
      </c>
    </row>
    <row r="23" ht="15.75" customFormat="1" customHeight="1" s="21">
      <c r="A23" s="5" t="n">
        <v>3</v>
      </c>
      <c r="B23" s="79">
        <f>'Location 3'!R1</f>
        <v/>
      </c>
      <c r="C23" s="13" t="n">
        <v>1</v>
      </c>
      <c r="D23" s="13" t="n">
        <v>1</v>
      </c>
      <c r="E23" s="13" t="n">
        <v>1</v>
      </c>
      <c r="F23" s="13">
        <f>C23*D23*E23</f>
        <v/>
      </c>
      <c r="G23" s="121">
        <f>'Location 3'!P73</f>
        <v/>
      </c>
      <c r="H23" s="15">
        <f>(F23*G23)</f>
        <v/>
      </c>
      <c r="I23" s="13" t="n">
        <v>1</v>
      </c>
      <c r="J23" s="6">
        <f>H23/I23</f>
        <v/>
      </c>
    </row>
    <row r="24" ht="16.5" customHeight="1">
      <c r="A24" s="5" t="n">
        <v>4</v>
      </c>
      <c r="B24" s="79">
        <f>'Location 4'!R1</f>
        <v/>
      </c>
      <c r="C24" s="5" t="n">
        <v>1</v>
      </c>
      <c r="D24" s="5" t="n">
        <v>1</v>
      </c>
      <c r="E24" s="5" t="n">
        <v>1</v>
      </c>
      <c r="F24" s="13">
        <f>C24*D24*E24</f>
        <v/>
      </c>
      <c r="G24" s="121">
        <f>'Location 4'!P73</f>
        <v/>
      </c>
      <c r="H24" s="15">
        <f>(F24*G24)</f>
        <v/>
      </c>
      <c r="I24" s="13" t="n">
        <v>1</v>
      </c>
      <c r="J24" s="6">
        <f>H24/I24</f>
        <v/>
      </c>
    </row>
    <row r="25" ht="16.5" customHeight="1">
      <c r="A25" s="5" t="n">
        <v>5</v>
      </c>
      <c r="B25" s="79">
        <f>'Location 5'!R1</f>
        <v/>
      </c>
      <c r="C25" s="5" t="n">
        <v>1</v>
      </c>
      <c r="D25" s="5" t="n">
        <v>1</v>
      </c>
      <c r="E25" s="5" t="n">
        <v>1</v>
      </c>
      <c r="F25" s="13">
        <f>C25*D25*E25</f>
        <v/>
      </c>
      <c r="G25" s="121">
        <f>'Location 5'!P73</f>
        <v/>
      </c>
      <c r="H25" s="15">
        <f>(F25*G25)</f>
        <v/>
      </c>
      <c r="I25" s="13" t="n">
        <v>1</v>
      </c>
      <c r="J25" s="6">
        <f>H25/I25</f>
        <v/>
      </c>
    </row>
    <row r="26" ht="16.5" customFormat="1" customHeight="1" s="22">
      <c r="A26" s="5" t="n">
        <v>6</v>
      </c>
      <c r="B26" s="78">
        <f>'Location 6'!R1</f>
        <v/>
      </c>
      <c r="C26" s="5" t="n">
        <v>1</v>
      </c>
      <c r="D26" s="5" t="n">
        <v>1</v>
      </c>
      <c r="E26" s="5" t="n">
        <v>1</v>
      </c>
      <c r="F26" s="13">
        <f>C26*D26*E26</f>
        <v/>
      </c>
      <c r="G26" s="121">
        <f>'Location 6'!P73</f>
        <v/>
      </c>
      <c r="H26" s="15">
        <f>(F26*G26)</f>
        <v/>
      </c>
      <c r="I26" s="13" t="n">
        <v>1</v>
      </c>
      <c r="J26" s="6">
        <f>H26/I26</f>
        <v/>
      </c>
    </row>
    <row r="27" ht="16.5" customFormat="1" customHeight="1" s="22" thickBot="1">
      <c r="A27" s="151" t="inlineStr">
        <is>
          <t>Subtotal Subcontractors</t>
        </is>
      </c>
      <c r="B27" s="200" t="n"/>
      <c r="C27" s="200" t="n"/>
      <c r="D27" s="200" t="n"/>
      <c r="E27" s="200" t="n"/>
      <c r="F27" s="200" t="n"/>
      <c r="G27" s="201" t="n"/>
      <c r="H27" s="10">
        <f>SUM(H21:H26)</f>
        <v/>
      </c>
      <c r="I27" s="9" t="n"/>
      <c r="J27" s="11">
        <f>SUM(J21:J26)</f>
        <v/>
      </c>
    </row>
    <row r="28" ht="19.5" customHeight="1" thickBot="1">
      <c r="A28" s="150" t="inlineStr">
        <is>
          <t>Optional Work</t>
        </is>
      </c>
      <c r="B28" s="198" t="n"/>
      <c r="C28" s="198" t="n"/>
      <c r="D28" s="198" t="n"/>
      <c r="E28" s="198" t="n"/>
      <c r="F28" s="198" t="n"/>
      <c r="G28" s="198" t="n"/>
      <c r="H28" s="198" t="n"/>
      <c r="I28" s="198" t="n"/>
      <c r="J28" s="199" t="n"/>
    </row>
    <row r="29" ht="38.25" customFormat="1" customHeight="1" s="21" thickBot="1">
      <c r="A29" s="1" t="inlineStr">
        <is>
          <t>Item</t>
        </is>
      </c>
      <c r="B29" s="1" t="inlineStr">
        <is>
          <t>Material Item</t>
        </is>
      </c>
      <c r="C29" s="2" t="inlineStr">
        <is>
          <t>Surcharge</t>
        </is>
      </c>
      <c r="D29" s="2" t="inlineStr">
        <is>
          <t>Units</t>
        </is>
      </c>
      <c r="E29" s="2" t="inlineStr">
        <is>
          <t>Other</t>
        </is>
      </c>
      <c r="F29" s="2" t="inlineStr">
        <is>
          <t>Total Surcharge</t>
        </is>
      </c>
      <c r="G29" s="3" t="inlineStr">
        <is>
          <t>Unit Price</t>
        </is>
      </c>
      <c r="H29" s="3" t="inlineStr">
        <is>
          <t>Subtotal 1</t>
        </is>
      </c>
      <c r="I29" s="2" t="inlineStr">
        <is>
          <t>Margin</t>
        </is>
      </c>
      <c r="J29" s="2" t="inlineStr">
        <is>
          <t>Subtotal 2</t>
        </is>
      </c>
    </row>
    <row r="30" ht="16.5" customHeight="1">
      <c r="A30" s="5" t="n">
        <v>1</v>
      </c>
      <c r="B30" s="78">
        <f>'Option 1'!R1</f>
        <v/>
      </c>
      <c r="C30" s="13" t="n">
        <v>1</v>
      </c>
      <c r="D30" s="5" t="n">
        <v>1</v>
      </c>
      <c r="E30" s="5" t="n">
        <v>1</v>
      </c>
      <c r="F30" s="13">
        <f>C30*D30*E30</f>
        <v/>
      </c>
      <c r="G30" s="121">
        <f>'Option 1'!P73</f>
        <v/>
      </c>
      <c r="H30" s="15">
        <f>C30*D30*E30*F30*G30</f>
        <v/>
      </c>
      <c r="I30" s="13" t="n">
        <v>1</v>
      </c>
      <c r="J30" s="121">
        <f>H30/I30</f>
        <v/>
      </c>
    </row>
    <row r="31">
      <c r="A31" s="5" t="n"/>
      <c r="B31" s="4" t="n"/>
      <c r="C31" s="5" t="n"/>
      <c r="D31" s="5" t="n"/>
      <c r="E31" s="5" t="n"/>
      <c r="F31" s="13">
        <f>C31*D31*E31</f>
        <v/>
      </c>
      <c r="G31" s="6" t="n"/>
      <c r="H31" s="15">
        <f>C31*D31*E31*F31*G31</f>
        <v/>
      </c>
      <c r="I31" s="13" t="n">
        <v>1</v>
      </c>
      <c r="J31" s="121">
        <f>H31/I31</f>
        <v/>
      </c>
    </row>
    <row r="32">
      <c r="A32" s="109" t="inlineStr">
        <is>
          <t>Subtotal Materials and Equipment</t>
        </is>
      </c>
      <c r="B32" s="200" t="n"/>
      <c r="C32" s="200" t="n"/>
      <c r="D32" s="200" t="n"/>
      <c r="E32" s="200" t="n"/>
      <c r="F32" s="200" t="n"/>
      <c r="G32" s="200" t="n"/>
      <c r="H32" s="19">
        <f>SUM(H30:H31)</f>
        <v/>
      </c>
      <c r="I32" s="20" t="n"/>
      <c r="J32" s="19">
        <f>SUM(J30:J31)</f>
        <v/>
      </c>
    </row>
    <row r="33">
      <c r="A33" s="33" t="n"/>
      <c r="B33" s="202" t="n"/>
      <c r="C33" s="202" t="n"/>
      <c r="D33" s="202" t="n"/>
      <c r="E33" s="202" t="n"/>
      <c r="F33" s="202" t="n"/>
      <c r="G33" s="202" t="n"/>
      <c r="H33" s="202" t="n"/>
      <c r="I33" s="202" t="n"/>
      <c r="J33" s="203" t="n"/>
    </row>
    <row r="34">
      <c r="A34" s="204" t="n"/>
      <c r="B34" s="205" t="n"/>
      <c r="C34" s="205" t="n"/>
      <c r="D34" s="205" t="n"/>
      <c r="E34" s="205" t="n"/>
      <c r="F34" s="205" t="n"/>
      <c r="G34" s="205" t="n"/>
      <c r="H34" s="205" t="n"/>
      <c r="I34" s="205" t="n"/>
      <c r="J34" s="206" t="n"/>
    </row>
    <row r="35">
      <c r="A35" s="103" t="inlineStr">
        <is>
          <t>Project Subtotal</t>
        </is>
      </c>
      <c r="B35" s="200" t="n"/>
      <c r="C35" s="200" t="n"/>
      <c r="D35" s="200" t="n"/>
      <c r="E35" s="200" t="n"/>
      <c r="F35" s="200" t="n"/>
      <c r="G35" s="200" t="n"/>
      <c r="H35" s="200" t="n"/>
      <c r="I35" s="201" t="n"/>
      <c r="J35" s="28">
        <f>J18+J27</f>
        <v/>
      </c>
    </row>
    <row r="36">
      <c r="A36" s="103" t="n"/>
      <c r="B36" s="200" t="n"/>
      <c r="C36" s="200" t="n"/>
      <c r="D36" s="200" t="n"/>
      <c r="E36" s="200" t="n"/>
      <c r="F36" s="200" t="n"/>
      <c r="G36" s="200" t="n"/>
      <c r="H36" s="200" t="n"/>
      <c r="I36" s="200" t="n"/>
      <c r="J36" s="201" t="n"/>
    </row>
    <row r="37">
      <c r="A37" s="103" t="inlineStr">
        <is>
          <t>Cash Allowance</t>
        </is>
      </c>
      <c r="B37" s="200" t="n"/>
      <c r="C37" s="200" t="n"/>
      <c r="D37" s="200" t="n"/>
      <c r="E37" s="200" t="n"/>
      <c r="F37" s="200" t="n"/>
      <c r="G37" s="200" t="n"/>
      <c r="H37" s="200" t="n"/>
      <c r="I37" s="201" t="n"/>
      <c r="J37" s="28" t="n">
        <v>0</v>
      </c>
    </row>
    <row r="38">
      <c r="A38" s="189" t="n"/>
      <c r="B38" s="200" t="n"/>
      <c r="C38" s="200" t="n"/>
      <c r="D38" s="200" t="n"/>
      <c r="E38" s="200" t="n"/>
      <c r="F38" s="200" t="n"/>
      <c r="G38" s="200" t="n"/>
      <c r="H38" s="200" t="n"/>
      <c r="I38" s="200" t="n"/>
      <c r="J38" s="201" t="n"/>
    </row>
    <row r="39">
      <c r="A39" s="104" t="inlineStr">
        <is>
          <t>Utility Isolation</t>
        </is>
      </c>
      <c r="B39" s="200" t="n"/>
      <c r="C39" s="200" t="n"/>
      <c r="D39" s="200" t="n"/>
      <c r="E39" s="200" t="n"/>
      <c r="F39" s="200" t="n"/>
      <c r="G39" s="200" t="n"/>
      <c r="H39" s="200" t="n"/>
      <c r="I39" s="201" t="n"/>
      <c r="J39" s="32" t="n">
        <v>0</v>
      </c>
    </row>
    <row r="40">
      <c r="A40" s="189" t="n"/>
      <c r="B40" s="200" t="n"/>
      <c r="C40" s="200" t="n"/>
      <c r="D40" s="200" t="n"/>
      <c r="E40" s="200" t="n"/>
      <c r="F40" s="200" t="n"/>
      <c r="G40" s="200" t="n"/>
      <c r="H40" s="200" t="n"/>
      <c r="I40" s="200" t="n"/>
      <c r="J40" s="201" t="n"/>
    </row>
    <row r="41">
      <c r="A41" s="103" t="inlineStr">
        <is>
          <t>Discount</t>
        </is>
      </c>
      <c r="B41" s="200" t="n"/>
      <c r="C41" s="200" t="n"/>
      <c r="D41" s="200" t="n"/>
      <c r="E41" s="200" t="n"/>
      <c r="F41" s="200" t="n"/>
      <c r="G41" s="200" t="n"/>
      <c r="H41" s="200" t="n"/>
      <c r="I41" s="201" t="n"/>
      <c r="J41" s="28" t="n">
        <v>0</v>
      </c>
    </row>
    <row r="42">
      <c r="A42" s="189" t="n"/>
      <c r="B42" s="200" t="n"/>
      <c r="C42" s="200" t="n"/>
      <c r="D42" s="200" t="n"/>
      <c r="E42" s="200" t="n"/>
      <c r="F42" s="200" t="n"/>
      <c r="G42" s="200" t="n"/>
      <c r="H42" s="200" t="n"/>
      <c r="I42" s="200" t="n"/>
      <c r="J42" s="201" t="n"/>
    </row>
    <row r="43">
      <c r="A43" s="103" t="inlineStr">
        <is>
          <t>Project Options Subtotal</t>
        </is>
      </c>
      <c r="B43" s="200" t="n"/>
      <c r="C43" s="200" t="n"/>
      <c r="D43" s="200" t="n"/>
      <c r="E43" s="200" t="n"/>
      <c r="F43" s="200" t="n"/>
      <c r="G43" s="200" t="n"/>
      <c r="H43" s="200" t="n"/>
      <c r="I43" s="201" t="n"/>
      <c r="J43" s="28">
        <f>(J32)</f>
        <v/>
      </c>
    </row>
    <row r="44">
      <c r="A44" s="103" t="n"/>
      <c r="B44" s="200" t="n"/>
      <c r="C44" s="200" t="n"/>
      <c r="D44" s="200" t="n"/>
      <c r="E44" s="200" t="n"/>
      <c r="F44" s="200" t="n"/>
      <c r="G44" s="200" t="n"/>
      <c r="H44" s="200" t="n"/>
      <c r="I44" s="200" t="n"/>
      <c r="J44" s="201" t="n"/>
    </row>
    <row r="45">
      <c r="A45" s="103" t="inlineStr">
        <is>
          <t>Project Total</t>
        </is>
      </c>
      <c r="B45" s="200" t="n"/>
      <c r="C45" s="200" t="n"/>
      <c r="D45" s="200" t="n"/>
      <c r="E45" s="200" t="n"/>
      <c r="F45" s="200" t="n"/>
      <c r="G45" s="200" t="n"/>
      <c r="H45" s="200" t="n"/>
      <c r="I45" s="201" t="n"/>
      <c r="J45" s="28">
        <f>J35+J37+J39+J41+J43</f>
        <v/>
      </c>
    </row>
    <row r="46">
      <c r="A46" s="103" t="inlineStr">
        <is>
          <t>HST</t>
        </is>
      </c>
      <c r="B46" s="200" t="n"/>
      <c r="C46" s="200" t="n"/>
      <c r="D46" s="200" t="n"/>
      <c r="E46" s="200" t="n"/>
      <c r="F46" s="200" t="n"/>
      <c r="G46" s="200" t="n"/>
      <c r="H46" s="200" t="n"/>
      <c r="I46" s="201" t="n"/>
      <c r="J46" s="28">
        <f>J45*0.13</f>
        <v/>
      </c>
    </row>
    <row r="47">
      <c r="A47" s="103" t="inlineStr">
        <is>
          <t>TOTAL</t>
        </is>
      </c>
      <c r="B47" s="200" t="n"/>
      <c r="C47" s="200" t="n"/>
      <c r="D47" s="200" t="n"/>
      <c r="E47" s="200" t="n"/>
      <c r="F47" s="200" t="n"/>
      <c r="G47" s="200" t="n"/>
      <c r="H47" s="200" t="n"/>
      <c r="I47" s="201" t="n"/>
      <c r="J47" s="28">
        <f>J45+J46</f>
        <v/>
      </c>
    </row>
    <row r="48">
      <c r="A48" s="27" t="inlineStr">
        <is>
          <t>HST Check for final price should be the same as above</t>
        </is>
      </c>
      <c r="J48" s="29">
        <f>J45*1.13</f>
        <v/>
      </c>
    </row>
    <row r="52">
      <c r="G52" s="188" t="inlineStr">
        <is>
          <t>Cost Analysis</t>
        </is>
      </c>
      <c r="J52" s="30" t="inlineStr">
        <is>
          <t>Price</t>
        </is>
      </c>
    </row>
    <row r="53">
      <c r="G53" s="188" t="inlineStr">
        <is>
          <t>Ainsworth</t>
        </is>
      </c>
      <c r="J53" s="30">
        <f>J45</f>
        <v/>
      </c>
    </row>
    <row r="54">
      <c r="G54" s="188" t="inlineStr">
        <is>
          <t>Company A</t>
        </is>
      </c>
      <c r="J54" s="30" t="n"/>
    </row>
    <row r="55">
      <c r="G55" s="188" t="inlineStr">
        <is>
          <t>Company B</t>
        </is>
      </c>
      <c r="J55" s="30" t="n"/>
    </row>
    <row r="56">
      <c r="G56" s="188" t="inlineStr">
        <is>
          <t>Company C</t>
        </is>
      </c>
      <c r="J56" s="30" t="n"/>
    </row>
    <row r="57">
      <c r="G57" s="188" t="inlineStr">
        <is>
          <t>Company D</t>
        </is>
      </c>
      <c r="J57" s="30" t="n"/>
    </row>
    <row r="59" ht="16.5" customHeight="1" thickBot="1"/>
    <row r="60" ht="32.25" customHeight="1" thickBot="1">
      <c r="B60" s="27" t="inlineStr">
        <is>
          <t>APS (Cost)</t>
        </is>
      </c>
      <c r="C60" s="93" t="inlineStr">
        <is>
          <t>Regular</t>
        </is>
      </c>
      <c r="D60" s="93" t="inlineStr">
        <is>
          <t>Regular W/truck</t>
        </is>
      </c>
      <c r="E60" s="199" t="n"/>
      <c r="F60" s="82" t="inlineStr">
        <is>
          <t>Double Time</t>
        </is>
      </c>
      <c r="G60" s="82" t="inlineStr">
        <is>
          <t>Double Time W/truck</t>
        </is>
      </c>
      <c r="H60" s="83" t="inlineStr">
        <is>
          <t>Shift 20%</t>
        </is>
      </c>
      <c r="I60" s="83" t="inlineStr">
        <is>
          <t>Shift 20% W/truck</t>
        </is>
      </c>
    </row>
    <row r="61">
      <c r="B61" s="77" t="inlineStr">
        <is>
          <t xml:space="preserve">FOREMAN                                          </t>
        </is>
      </c>
      <c r="C61" s="207" t="n">
        <v>98.20999999999999</v>
      </c>
      <c r="D61" s="207">
        <f>(C61+17)</f>
        <v/>
      </c>
      <c r="E61" s="206" t="n"/>
      <c r="F61" s="208" t="n">
        <v>196.41</v>
      </c>
      <c r="G61" s="208">
        <f>(F61+17)</f>
        <v/>
      </c>
      <c r="H61" s="209" t="n">
        <v>112.94</v>
      </c>
      <c r="I61" s="210">
        <f>H61+17</f>
        <v/>
      </c>
      <c r="J61" s="211" t="n"/>
      <c r="K61" s="211" t="n"/>
    </row>
    <row r="62">
      <c r="B62" s="77" t="inlineStr">
        <is>
          <t xml:space="preserve">JOURNEYMAN                                 </t>
        </is>
      </c>
      <c r="C62" s="212" t="n">
        <v>87.65000000000001</v>
      </c>
      <c r="D62" s="212">
        <f>(C62+17)</f>
        <v/>
      </c>
      <c r="E62" s="201" t="n"/>
      <c r="F62" s="213" t="n">
        <v>175.31</v>
      </c>
      <c r="G62" s="213">
        <f>(F62+17)</f>
        <v/>
      </c>
      <c r="H62" s="214" t="n">
        <v>100.8</v>
      </c>
      <c r="I62" s="215">
        <f>H62+17</f>
        <v/>
      </c>
      <c r="J62" s="211" t="n"/>
      <c r="K62" s="211" t="n"/>
    </row>
    <row r="63">
      <c r="B63" s="77" t="inlineStr">
        <is>
          <t xml:space="preserve">APPRENTICE #5                                </t>
        </is>
      </c>
      <c r="C63" s="212" t="n">
        <v>71.38</v>
      </c>
      <c r="D63" s="212">
        <f>(C63+17)</f>
        <v/>
      </c>
      <c r="E63" s="201" t="n"/>
      <c r="F63" s="213" t="n">
        <v>142.73</v>
      </c>
      <c r="G63" s="213">
        <f>(F63+17)</f>
        <v/>
      </c>
      <c r="H63" s="214" t="n">
        <v>82.09</v>
      </c>
      <c r="I63" s="215">
        <f>H63+17</f>
        <v/>
      </c>
      <c r="J63" s="211" t="n"/>
      <c r="K63" s="211" t="n"/>
    </row>
    <row r="64">
      <c r="B64" s="77" t="inlineStr">
        <is>
          <t xml:space="preserve">APPRENTICE #4                                </t>
        </is>
      </c>
      <c r="C64" s="212" t="n">
        <v>63.34</v>
      </c>
      <c r="D64" s="212">
        <f>(C64+17)</f>
        <v/>
      </c>
      <c r="E64" s="201" t="n"/>
      <c r="F64" s="213" t="n">
        <v>126.7</v>
      </c>
      <c r="G64" s="213">
        <f>(F64+17)</f>
        <v/>
      </c>
      <c r="H64" s="214" t="n">
        <v>72.84</v>
      </c>
      <c r="I64" s="215">
        <f>H64+17</f>
        <v/>
      </c>
      <c r="J64" s="211" t="n"/>
      <c r="K64" s="211" t="n"/>
    </row>
    <row r="65">
      <c r="B65" s="77" t="inlineStr">
        <is>
          <t xml:space="preserve">APPRENTICE #3                              </t>
        </is>
      </c>
      <c r="C65" s="212" t="n">
        <v>55.33</v>
      </c>
      <c r="D65" s="212">
        <f>(C65+17)</f>
        <v/>
      </c>
      <c r="E65" s="201" t="n"/>
      <c r="F65" s="213" t="n">
        <v>110.64</v>
      </c>
      <c r="G65" s="213">
        <f>(F65+17)</f>
        <v/>
      </c>
      <c r="H65" s="214" t="n">
        <v>63.63</v>
      </c>
      <c r="I65" s="215">
        <f>H65+17</f>
        <v/>
      </c>
      <c r="J65" s="211" t="n"/>
      <c r="K65" s="211" t="n"/>
    </row>
    <row r="66">
      <c r="B66" s="77" t="inlineStr">
        <is>
          <t xml:space="preserve">APPRENTICE #2                                 </t>
        </is>
      </c>
      <c r="C66" s="212" t="n">
        <v>47.3</v>
      </c>
      <c r="D66" s="212">
        <f>(C66+17)</f>
        <v/>
      </c>
      <c r="E66" s="201" t="n"/>
      <c r="F66" s="213" t="n">
        <v>94.59</v>
      </c>
      <c r="G66" s="213">
        <f>(F66+17)</f>
        <v/>
      </c>
      <c r="H66" s="214" t="n">
        <v>54.4</v>
      </c>
      <c r="I66" s="215">
        <f>H66+17</f>
        <v/>
      </c>
      <c r="J66" s="211" t="n"/>
      <c r="K66" s="211" t="n"/>
    </row>
    <row r="67">
      <c r="B67" s="77" t="inlineStr">
        <is>
          <t xml:space="preserve">APPRENTICE #1                                 </t>
        </is>
      </c>
      <c r="C67" s="212" t="n">
        <v>39.25</v>
      </c>
      <c r="D67" s="212">
        <f>(C67+17)</f>
        <v/>
      </c>
      <c r="E67" s="201" t="n"/>
      <c r="F67" s="213" t="n">
        <v>78.48999999999999</v>
      </c>
      <c r="G67" s="213">
        <f>(F67+17)</f>
        <v/>
      </c>
      <c r="H67" s="214" t="n">
        <v>45.14</v>
      </c>
      <c r="I67" s="215">
        <f>H67+17</f>
        <v/>
      </c>
      <c r="J67" s="211" t="n"/>
      <c r="K67" s="211" t="n"/>
    </row>
    <row r="68" ht="16.5" customHeight="1" thickBot="1">
      <c r="D68" s="216" t="n"/>
      <c r="E68" s="217" t="n"/>
    </row>
    <row r="69" ht="32.25" customHeight="1" thickBot="1">
      <c r="B69" s="27" t="inlineStr">
        <is>
          <t>APS (Sell)</t>
        </is>
      </c>
      <c r="C69" s="93" t="inlineStr">
        <is>
          <t>Regular</t>
        </is>
      </c>
      <c r="D69" s="93" t="inlineStr">
        <is>
          <t>Regular W/truck</t>
        </is>
      </c>
      <c r="E69" s="199" t="n"/>
      <c r="F69" s="82" t="inlineStr">
        <is>
          <t>Double Time</t>
        </is>
      </c>
      <c r="G69" s="82" t="inlineStr">
        <is>
          <t>Double Time W/truck</t>
        </is>
      </c>
      <c r="H69" s="83" t="inlineStr">
        <is>
          <t>Shift 20%</t>
        </is>
      </c>
      <c r="I69" s="83" t="inlineStr">
        <is>
          <t>Shift 20% W/truck</t>
        </is>
      </c>
      <c r="K69" s="33" t="inlineStr">
        <is>
          <t>Margin</t>
        </is>
      </c>
    </row>
    <row r="70">
      <c r="B70" s="77" t="inlineStr">
        <is>
          <t xml:space="preserve">FOREMAN                                          </t>
        </is>
      </c>
      <c r="C70" s="218">
        <f>C61/$K$70</f>
        <v/>
      </c>
      <c r="D70" s="219">
        <f>D61/$K$70</f>
        <v/>
      </c>
      <c r="E70" s="220" t="n"/>
      <c r="F70" s="218">
        <f>F61/$K$70</f>
        <v/>
      </c>
      <c r="G70" s="218">
        <f>G61/$K$70</f>
        <v/>
      </c>
      <c r="H70" s="218">
        <f>H61/$K$70</f>
        <v/>
      </c>
      <c r="I70" s="218">
        <f>I61/$K$70</f>
        <v/>
      </c>
      <c r="K70" s="5" t="n">
        <v>0.8</v>
      </c>
    </row>
    <row r="71">
      <c r="B71" s="77" t="inlineStr">
        <is>
          <t xml:space="preserve">JOURNEYMAN                                 </t>
        </is>
      </c>
      <c r="C71" s="218">
        <f>C62/$K$70</f>
        <v/>
      </c>
      <c r="D71" s="212">
        <f>D62/$K$70</f>
        <v/>
      </c>
      <c r="E71" s="201" t="n"/>
      <c r="F71" s="218">
        <f>F62/$K$70</f>
        <v/>
      </c>
      <c r="G71" s="218">
        <f>G62/$K$70</f>
        <v/>
      </c>
      <c r="H71" s="218">
        <f>H62/$K$70</f>
        <v/>
      </c>
      <c r="I71" s="218">
        <f>I62/$K$70</f>
        <v/>
      </c>
    </row>
    <row r="72">
      <c r="B72" s="77" t="inlineStr">
        <is>
          <t xml:space="preserve">APPRENTICE #5                                </t>
        </is>
      </c>
      <c r="C72" s="218">
        <f>C63/$K$70</f>
        <v/>
      </c>
      <c r="D72" s="212">
        <f>D63/$K$70</f>
        <v/>
      </c>
      <c r="E72" s="201" t="n"/>
      <c r="F72" s="218">
        <f>F63/$K$70</f>
        <v/>
      </c>
      <c r="G72" s="218">
        <f>G63/$K$70</f>
        <v/>
      </c>
      <c r="H72" s="218">
        <f>H63/$K$70</f>
        <v/>
      </c>
      <c r="I72" s="218">
        <f>I63/$K$70</f>
        <v/>
      </c>
    </row>
    <row r="73">
      <c r="B73" s="77" t="inlineStr">
        <is>
          <t xml:space="preserve">APPRENTICE #4                                </t>
        </is>
      </c>
      <c r="C73" s="218">
        <f>C64/$K$70</f>
        <v/>
      </c>
      <c r="D73" s="212">
        <f>D64/$K$70</f>
        <v/>
      </c>
      <c r="E73" s="201" t="n"/>
      <c r="F73" s="218">
        <f>F64/$K$70</f>
        <v/>
      </c>
      <c r="G73" s="218">
        <f>G64/$K$70</f>
        <v/>
      </c>
      <c r="H73" s="218">
        <f>H64/$K$70</f>
        <v/>
      </c>
      <c r="I73" s="218">
        <f>I64/$K$70</f>
        <v/>
      </c>
    </row>
    <row r="74">
      <c r="B74" s="77" t="inlineStr">
        <is>
          <t xml:space="preserve">APPRENTICE #3                              </t>
        </is>
      </c>
      <c r="C74" s="218">
        <f>C65/$K$70</f>
        <v/>
      </c>
      <c r="D74" s="212">
        <f>D65/$K$70</f>
        <v/>
      </c>
      <c r="E74" s="201" t="n"/>
      <c r="F74" s="218">
        <f>F65/$K$70</f>
        <v/>
      </c>
      <c r="G74" s="218">
        <f>G65/$K$70</f>
        <v/>
      </c>
      <c r="H74" s="218">
        <f>H65/$K$70</f>
        <v/>
      </c>
      <c r="I74" s="218">
        <f>I65/$K$70</f>
        <v/>
      </c>
    </row>
    <row r="75">
      <c r="B75" s="77" t="inlineStr">
        <is>
          <t xml:space="preserve">APPRENTICE #2                                 </t>
        </is>
      </c>
      <c r="C75" s="218">
        <f>C66/$K$70</f>
        <v/>
      </c>
      <c r="D75" s="212">
        <f>D66/$K$70</f>
        <v/>
      </c>
      <c r="E75" s="201" t="n"/>
      <c r="F75" s="218">
        <f>F66/$K$70</f>
        <v/>
      </c>
      <c r="G75" s="218">
        <f>G66/$K$70</f>
        <v/>
      </c>
      <c r="H75" s="218">
        <f>H66/$K$70</f>
        <v/>
      </c>
      <c r="I75" s="218">
        <f>I66/$K$70</f>
        <v/>
      </c>
    </row>
    <row r="76">
      <c r="B76" s="77" t="inlineStr">
        <is>
          <t xml:space="preserve">APPRENTICE #1                                 </t>
        </is>
      </c>
      <c r="C76" s="218">
        <f>C67/$K$70</f>
        <v/>
      </c>
      <c r="D76" s="212">
        <f>D67/$K$70</f>
        <v/>
      </c>
      <c r="E76" s="201" t="n"/>
      <c r="F76" s="218">
        <f>F67/$K$70</f>
        <v/>
      </c>
      <c r="G76" s="218">
        <f>G67/$K$70</f>
        <v/>
      </c>
      <c r="H76" s="218">
        <f>H67/$K$70</f>
        <v/>
      </c>
      <c r="I76" s="218">
        <f>I67/$K$70</f>
        <v/>
      </c>
    </row>
    <row r="77">
      <c r="D77" s="221" t="n"/>
    </row>
    <row r="78">
      <c r="D78" s="221" t="n"/>
    </row>
    <row r="79">
      <c r="B79" s="27" t="inlineStr">
        <is>
          <t>Bonding</t>
        </is>
      </c>
      <c r="C79" s="27" t="inlineStr">
        <is>
          <t>rate/Moths</t>
        </is>
      </c>
    </row>
    <row r="80">
      <c r="B80" s="27" t="inlineStr">
        <is>
          <t>First $2.5M</t>
        </is>
      </c>
      <c r="C80" s="27" t="n">
        <v>8.699999999999999</v>
      </c>
      <c r="G80" s="221" t="n">
        <v>2500000</v>
      </c>
      <c r="I80" s="211">
        <f>G80/1000*C80</f>
        <v/>
      </c>
    </row>
    <row r="81">
      <c r="B81" s="27" t="inlineStr">
        <is>
          <t>Second $2.5M</t>
        </is>
      </c>
      <c r="C81" s="27" t="n">
        <v>7.9</v>
      </c>
      <c r="G81" s="221" t="n">
        <v>2500000</v>
      </c>
      <c r="I81" s="211">
        <f>G81/1000*C81</f>
        <v/>
      </c>
    </row>
    <row r="82">
      <c r="B82" s="27" t="inlineStr">
        <is>
          <t>Third $2.5M</t>
        </is>
      </c>
      <c r="C82" s="27" t="n">
        <v>6.95</v>
      </c>
      <c r="G82" s="221" t="n">
        <v>2500000</v>
      </c>
      <c r="I82" s="211">
        <f>G82/1000*C82</f>
        <v/>
      </c>
    </row>
    <row r="83">
      <c r="B83" s="27" t="inlineStr">
        <is>
          <t>Subtotal</t>
        </is>
      </c>
      <c r="I83" s="211">
        <f>I80+I81+I82</f>
        <v/>
      </c>
    </row>
    <row r="84">
      <c r="B84" s="27" t="inlineStr">
        <is>
          <t>after 24 months</t>
        </is>
      </c>
      <c r="C84" s="27" t="n">
        <v>12</v>
      </c>
      <c r="I84" s="211">
        <f>I83*C84*0.01</f>
        <v/>
      </c>
    </row>
    <row r="85">
      <c r="B85" s="27" t="inlineStr">
        <is>
          <t>Grand Total for Bond</t>
        </is>
      </c>
      <c r="I85" s="211">
        <f>I83+I84</f>
        <v/>
      </c>
    </row>
    <row r="86">
      <c r="B86" s="27" t="inlineStr">
        <is>
          <t>Sell Price</t>
        </is>
      </c>
      <c r="I86" s="211">
        <f>I85/0.9</f>
        <v/>
      </c>
    </row>
  </sheetData>
  <mergeCells count="54">
    <mergeCell ref="D69:E69"/>
    <mergeCell ref="A32:G32"/>
    <mergeCell ref="A5:J5"/>
    <mergeCell ref="G81:H81"/>
    <mergeCell ref="D60:E60"/>
    <mergeCell ref="A1:J2"/>
    <mergeCell ref="A14:J14"/>
    <mergeCell ref="A41:I41"/>
    <mergeCell ref="G57:I57"/>
    <mergeCell ref="A46:I46"/>
    <mergeCell ref="D63:E63"/>
    <mergeCell ref="G53:I53"/>
    <mergeCell ref="A37:I37"/>
    <mergeCell ref="A38:J38"/>
    <mergeCell ref="A28:J28"/>
    <mergeCell ref="D65:E65"/>
    <mergeCell ref="A19:J19"/>
    <mergeCell ref="A44:J44"/>
    <mergeCell ref="G82:H82"/>
    <mergeCell ref="D77:E77"/>
    <mergeCell ref="A47:I47"/>
    <mergeCell ref="A40:J40"/>
    <mergeCell ref="D76:E76"/>
    <mergeCell ref="G55:I55"/>
    <mergeCell ref="A15:J15"/>
    <mergeCell ref="D61:E61"/>
    <mergeCell ref="D70:E70"/>
    <mergeCell ref="A18:B18"/>
    <mergeCell ref="D66:E66"/>
    <mergeCell ref="A35:I35"/>
    <mergeCell ref="D75:E75"/>
    <mergeCell ref="G54:I54"/>
    <mergeCell ref="A43:I43"/>
    <mergeCell ref="A36:J36"/>
    <mergeCell ref="D72:E72"/>
    <mergeCell ref="D78:E78"/>
    <mergeCell ref="G80:H80"/>
    <mergeCell ref="A33:J34"/>
    <mergeCell ref="D62:E62"/>
    <mergeCell ref="G56:I56"/>
    <mergeCell ref="A39:I39"/>
    <mergeCell ref="D71:E71"/>
    <mergeCell ref="G52:I52"/>
    <mergeCell ref="A17:E17"/>
    <mergeCell ref="D74:E74"/>
    <mergeCell ref="D68:E68"/>
    <mergeCell ref="D64:E64"/>
    <mergeCell ref="A27:G27"/>
    <mergeCell ref="D73:E73"/>
    <mergeCell ref="D67:E67"/>
    <mergeCell ref="A3:J3"/>
    <mergeCell ref="A45:I45"/>
    <mergeCell ref="A13:B13"/>
    <mergeCell ref="A42:J42"/>
  </mergeCells>
  <dataValidations disablePrompts="1" count="1">
    <dataValidation sqref="I6:I12 I16 K70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landscape" scale="72" fitToHeight="0" horizontalDpi="300" verticalDpi="300"/>
  <colBreaks count="1" manualBreakCount="1">
    <brk id="10" min="0" max="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tabSelected="1" zoomScale="80" zoomScaleNormal="80" workbookViewId="0">
      <selection activeCell="E7" sqref="E7"/>
    </sheetView>
  </sheetViews>
  <sheetFormatPr baseColWidth="8" defaultColWidth="9.140625" defaultRowHeight="15.75"/>
  <cols>
    <col width="9.140625" customWidth="1" style="27" min="1" max="1"/>
    <col width="44.85546875" customWidth="1" style="27" min="2" max="2"/>
    <col width="14.140625" customWidth="1" style="27" min="3" max="3"/>
    <col width="7.28515625" customWidth="1" style="27" min="4" max="4"/>
    <col width="9.42578125" customWidth="1" style="27" min="5" max="5"/>
    <col width="15.7109375" customWidth="1" style="27" min="6" max="6"/>
    <col width="19.140625" customWidth="1" style="27" min="7" max="7"/>
    <col width="15.28515625" customWidth="1" style="27" min="8" max="14"/>
    <col width="14.85546875" customWidth="1" style="27" min="15" max="15"/>
    <col width="22" customWidth="1" style="27" min="16" max="16"/>
    <col width="9.140625" customWidth="1" style="27" min="17" max="17"/>
    <col width="12.42578125" bestFit="1" customWidth="1" style="27" min="18" max="18"/>
    <col width="11.42578125" customWidth="1" style="27" min="19" max="19"/>
    <col width="15.5703125" bestFit="1" customWidth="1" style="27" min="20" max="20"/>
    <col width="12.85546875" customWidth="1" style="27" min="21" max="21"/>
    <col width="13.85546875" customWidth="1" style="27" min="22" max="22"/>
    <col width="11.85546875" customWidth="1" style="27" min="23" max="23"/>
    <col width="9.140625" customWidth="1" style="27" min="24" max="16384"/>
  </cols>
  <sheetData>
    <row r="1" ht="23.25" customHeight="1">
      <c r="A1" s="192">
        <f t="array" ref="A1">MID(CELL("filename",C1),FIND("]",CELL("filename",C1))+1,255)</f>
        <v/>
      </c>
      <c r="B1" s="193" t="n"/>
      <c r="C1" s="193" t="n"/>
      <c r="D1" s="193" t="n"/>
      <c r="E1" s="193" t="n"/>
      <c r="F1" s="193" t="n"/>
      <c r="G1" s="193" t="n"/>
      <c r="H1" s="193" t="n"/>
      <c r="I1" s="193" t="n"/>
      <c r="J1" s="193" t="n"/>
      <c r="K1" s="193" t="n"/>
      <c r="L1" s="193" t="n"/>
      <c r="M1" s="193" t="n"/>
      <c r="N1" s="193" t="n"/>
      <c r="O1" s="193" t="n"/>
      <c r="P1" s="194" t="n"/>
      <c r="R1" s="27">
        <f t="array" ref="R1">MID(CELL("filename",C1),FIND("]",CELL("filename",C1))+1,255)</f>
        <v/>
      </c>
    </row>
    <row r="2" ht="19.5" customHeight="1" thickBot="1">
      <c r="A2" s="195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7" t="n"/>
    </row>
    <row r="3" ht="19.5" customHeight="1" thickBot="1">
      <c r="A3" s="150" t="inlineStr">
        <is>
          <t>AINSWORTH LABOUR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9" t="n"/>
    </row>
    <row r="4" ht="19.5" customHeight="1" thickBot="1">
      <c r="A4" s="35" t="inlineStr">
        <is>
          <t>Item</t>
        </is>
      </c>
      <c r="B4" s="35" t="inlineStr">
        <is>
          <t>Task</t>
        </is>
      </c>
      <c r="C4" s="35" t="inlineStr">
        <is>
          <t>Regular Labour Rates</t>
        </is>
      </c>
      <c r="D4" s="198" t="n"/>
      <c r="E4" s="198" t="n"/>
      <c r="F4" s="198" t="n"/>
      <c r="G4" s="198" t="n"/>
      <c r="H4" s="199" t="n"/>
      <c r="I4" s="37" t="inlineStr">
        <is>
          <t>Premium Labour Rates</t>
        </is>
      </c>
      <c r="J4" s="198" t="n"/>
      <c r="K4" s="198" t="n"/>
      <c r="L4" s="198" t="n"/>
      <c r="M4" s="198" t="n"/>
      <c r="N4" s="199" t="n"/>
      <c r="O4" s="35" t="inlineStr">
        <is>
          <t>Margin</t>
        </is>
      </c>
      <c r="P4" s="222" t="inlineStr">
        <is>
          <t>Subtotal 3 - Sell Rate</t>
        </is>
      </c>
    </row>
    <row r="5" ht="57" customHeight="1" thickBot="1">
      <c r="A5" s="223" t="n"/>
      <c r="B5" s="223" t="n"/>
      <c r="C5" s="35" t="inlineStr">
        <is>
          <t># of techs</t>
        </is>
      </c>
      <c r="D5" s="35" t="inlineStr">
        <is>
          <t>Days/Units</t>
        </is>
      </c>
      <c r="E5" s="35" t="inlineStr">
        <is>
          <t>Regular Hours</t>
        </is>
      </c>
      <c r="F5" s="35" t="inlineStr">
        <is>
          <t>Total Regular Hours</t>
        </is>
      </c>
      <c r="G5" s="36" t="inlineStr">
        <is>
          <t>Regular Labour Rate</t>
        </is>
      </c>
      <c r="H5" s="36" t="inlineStr">
        <is>
          <t>Subtotal 1</t>
        </is>
      </c>
      <c r="I5" s="37" t="inlineStr">
        <is>
          <t># of techs</t>
        </is>
      </c>
      <c r="J5" s="37" t="inlineStr">
        <is>
          <t>Days/Units</t>
        </is>
      </c>
      <c r="K5" s="37" t="inlineStr">
        <is>
          <t>O/T Hours</t>
        </is>
      </c>
      <c r="L5" s="37" t="inlineStr">
        <is>
          <t>Total O/T Hours</t>
        </is>
      </c>
      <c r="M5" s="38" t="inlineStr">
        <is>
          <t>O/T Labour Rate</t>
        </is>
      </c>
      <c r="N5" s="37" t="inlineStr">
        <is>
          <t>Subtotal 2</t>
        </is>
      </c>
      <c r="O5" s="223" t="n"/>
      <c r="P5" s="223" t="n"/>
    </row>
    <row r="6" ht="34.5" customHeight="1" thickBot="1">
      <c r="A6" s="149" t="inlineStr">
        <is>
          <t>Project Management</t>
        </is>
      </c>
      <c r="B6" s="193" t="n"/>
      <c r="C6" s="193" t="n"/>
      <c r="D6" s="193" t="n"/>
      <c r="E6" s="193" t="n"/>
      <c r="F6" s="193" t="n"/>
      <c r="G6" s="193" t="n"/>
      <c r="H6" s="193" t="n"/>
      <c r="I6" s="193" t="n"/>
      <c r="J6" s="193" t="n"/>
      <c r="K6" s="193" t="n"/>
      <c r="L6" s="193" t="n"/>
      <c r="M6" s="193" t="n"/>
      <c r="N6" s="193" t="n"/>
      <c r="O6" s="193" t="n"/>
      <c r="P6" s="194" t="n"/>
      <c r="T6" s="211">
        <f>(P26+P37+P42)*0.05</f>
        <v/>
      </c>
    </row>
    <row r="7" ht="16.5" customHeight="1" thickTop="1">
      <c r="A7" s="155" t="n">
        <v>1</v>
      </c>
      <c r="B7" s="4" t="inlineStr">
        <is>
          <t>Engineering/Meetings</t>
        </is>
      </c>
      <c r="C7" s="5" t="n">
        <v>0</v>
      </c>
      <c r="D7" s="5" t="n">
        <v>0</v>
      </c>
      <c r="E7" s="5" t="n"/>
      <c r="F7" s="5">
        <f>C7*D7*E7</f>
        <v/>
      </c>
      <c r="G7" s="57" t="n">
        <v>90</v>
      </c>
      <c r="H7" s="58">
        <f>F7*G7</f>
        <v/>
      </c>
      <c r="I7" s="41" t="n"/>
      <c r="J7" s="42" t="n"/>
      <c r="K7" s="42" t="n"/>
      <c r="L7" s="42">
        <f>I7*J7*K7</f>
        <v/>
      </c>
      <c r="M7" s="43" t="n">
        <v>150</v>
      </c>
      <c r="N7" s="44">
        <f>L7*M7</f>
        <v/>
      </c>
      <c r="O7" s="5" t="n">
        <v>0.85</v>
      </c>
      <c r="P7" s="45">
        <f>H7/O7+N7/O7</f>
        <v/>
      </c>
      <c r="R7" s="29" t="n"/>
    </row>
    <row r="8">
      <c r="A8" s="155" t="n">
        <v>2</v>
      </c>
      <c r="B8" s="4" t="inlineStr">
        <is>
          <t>Project Management</t>
        </is>
      </c>
      <c r="C8" s="5" t="n">
        <v>0</v>
      </c>
      <c r="D8" s="5" t="n">
        <v>1</v>
      </c>
      <c r="E8" s="5" t="n">
        <v>1</v>
      </c>
      <c r="F8" s="5">
        <f>C8*D8*E8</f>
        <v/>
      </c>
      <c r="G8" s="57">
        <f>(P26+P37+P42)</f>
        <v/>
      </c>
      <c r="H8" s="58">
        <f>F8*G8</f>
        <v/>
      </c>
      <c r="I8" s="47" t="n"/>
      <c r="J8" s="48" t="n"/>
      <c r="K8" s="48" t="n"/>
      <c r="L8" s="48">
        <f>I8*J8*K8</f>
        <v/>
      </c>
      <c r="M8" s="39" t="n">
        <v>150</v>
      </c>
      <c r="N8" s="46">
        <f>L8*M8</f>
        <v/>
      </c>
      <c r="O8" s="5" t="n">
        <v>0.85</v>
      </c>
      <c r="P8" s="49">
        <f>H8/O8+N8/O8</f>
        <v/>
      </c>
    </row>
    <row r="9">
      <c r="A9" s="155" t="n">
        <v>3</v>
      </c>
      <c r="B9" s="4" t="inlineStr">
        <is>
          <t>ESA Submissions</t>
        </is>
      </c>
      <c r="C9" s="5" t="n">
        <v>1</v>
      </c>
      <c r="D9" s="5" t="n">
        <v>1</v>
      </c>
      <c r="E9" s="5" t="n">
        <v>1</v>
      </c>
      <c r="F9" s="5">
        <f>C9*D9*E9</f>
        <v/>
      </c>
      <c r="G9" s="57" t="n">
        <v>250</v>
      </c>
      <c r="H9" s="58">
        <f>F9*G9</f>
        <v/>
      </c>
      <c r="I9" s="47" t="n"/>
      <c r="J9" s="48" t="n"/>
      <c r="K9" s="48" t="n"/>
      <c r="L9" s="48">
        <f>I9*J9*K9</f>
        <v/>
      </c>
      <c r="M9" s="39" t="n">
        <v>0</v>
      </c>
      <c r="N9" s="46">
        <f>L9*M9</f>
        <v/>
      </c>
      <c r="O9" s="5" t="n">
        <v>0.85</v>
      </c>
      <c r="P9" s="50">
        <f>H9/O9+N9/O9</f>
        <v/>
      </c>
    </row>
    <row r="10">
      <c r="A10" s="155" t="n">
        <v>4</v>
      </c>
      <c r="B10" s="4" t="inlineStr">
        <is>
          <t>Misc. Subcontractors</t>
        </is>
      </c>
      <c r="C10" s="5" t="n">
        <v>0</v>
      </c>
      <c r="D10" s="5" t="n">
        <v>1</v>
      </c>
      <c r="E10" s="5" t="n">
        <v>1</v>
      </c>
      <c r="F10" s="5">
        <f>C10*D10*E10</f>
        <v/>
      </c>
      <c r="G10" s="57">
        <f>P37</f>
        <v/>
      </c>
      <c r="H10" s="58">
        <f>F10*G10</f>
        <v/>
      </c>
      <c r="I10" s="47" t="n"/>
      <c r="J10" s="48" t="n"/>
      <c r="K10" s="48" t="n"/>
      <c r="L10" s="48">
        <f>I10*J10*K10</f>
        <v/>
      </c>
      <c r="M10" s="39" t="n">
        <v>150</v>
      </c>
      <c r="N10" s="46">
        <f>L10*M10</f>
        <v/>
      </c>
      <c r="O10" s="5" t="n">
        <v>0.85</v>
      </c>
      <c r="P10" s="50">
        <f>H10/O10+N10/O10</f>
        <v/>
      </c>
    </row>
    <row r="11">
      <c r="A11" s="155" t="n">
        <v>5</v>
      </c>
      <c r="B11" s="4" t="inlineStr">
        <is>
          <t>Misc. Materials</t>
        </is>
      </c>
      <c r="C11" s="5" t="n">
        <v>0</v>
      </c>
      <c r="D11" s="5" t="n">
        <v>1</v>
      </c>
      <c r="E11" s="5" t="n">
        <v>1</v>
      </c>
      <c r="F11" s="5">
        <f>C11*D11*E11</f>
        <v/>
      </c>
      <c r="G11" s="57">
        <f>P42</f>
        <v/>
      </c>
      <c r="H11" s="58">
        <f>F11*G11</f>
        <v/>
      </c>
      <c r="I11" s="47" t="n"/>
      <c r="J11" s="48" t="n"/>
      <c r="K11" s="48" t="n"/>
      <c r="L11" s="48">
        <f>I11*J11*K11</f>
        <v/>
      </c>
      <c r="M11" s="39" t="n">
        <v>150</v>
      </c>
      <c r="N11" s="46">
        <f>L11*M11</f>
        <v/>
      </c>
      <c r="O11" s="5" t="n">
        <v>0.85</v>
      </c>
      <c r="P11" s="50">
        <f>H11/O11+N11/O11</f>
        <v/>
      </c>
    </row>
    <row r="12">
      <c r="A12" s="155" t="n">
        <v>6</v>
      </c>
      <c r="B12" s="4" t="inlineStr">
        <is>
          <t>Forman - site supervision and civil</t>
        </is>
      </c>
      <c r="C12" s="5" t="n"/>
      <c r="D12" s="5" t="n"/>
      <c r="E12" s="5" t="n"/>
      <c r="F12" s="5">
        <f>C12*D12*E12</f>
        <v/>
      </c>
      <c r="G12" s="57" t="n">
        <v>92</v>
      </c>
      <c r="H12" s="58">
        <f>F12*G12</f>
        <v/>
      </c>
      <c r="I12" s="47" t="n"/>
      <c r="J12" s="48" t="n"/>
      <c r="K12" s="48" t="n"/>
      <c r="L12" s="48">
        <f>I12*J12*K12</f>
        <v/>
      </c>
      <c r="M12" s="39" t="n">
        <v>150</v>
      </c>
      <c r="N12" s="46">
        <f>L12*M12</f>
        <v/>
      </c>
      <c r="O12" s="5" t="n">
        <v>0.85</v>
      </c>
      <c r="P12" s="50">
        <f>H12/O12+N12/O12</f>
        <v/>
      </c>
    </row>
    <row r="13">
      <c r="A13" s="155" t="n">
        <v>7</v>
      </c>
      <c r="B13" s="4" t="inlineStr">
        <is>
          <t>Lodging</t>
        </is>
      </c>
      <c r="C13" s="5" t="n">
        <v>1</v>
      </c>
      <c r="D13" s="5" t="n">
        <v>1</v>
      </c>
      <c r="E13" s="5" t="n">
        <v>1</v>
      </c>
      <c r="F13" s="5">
        <f>C13*D13*E13</f>
        <v/>
      </c>
      <c r="G13" s="57" t="n">
        <v>0</v>
      </c>
      <c r="H13" s="58">
        <f>F13*G13</f>
        <v/>
      </c>
      <c r="I13" s="47" t="n"/>
      <c r="J13" s="48" t="n"/>
      <c r="K13" s="48" t="n"/>
      <c r="L13" s="48">
        <f>I13*J13*K13</f>
        <v/>
      </c>
      <c r="M13" s="39" t="n">
        <v>175</v>
      </c>
      <c r="N13" s="46">
        <f>L13*M13</f>
        <v/>
      </c>
      <c r="O13" s="5" t="n">
        <v>0.85</v>
      </c>
      <c r="P13" s="50">
        <f>H13/O13+N13/O13</f>
        <v/>
      </c>
    </row>
    <row r="14" ht="15.75" customFormat="1" customHeight="1" s="21" thickBot="1">
      <c r="A14" s="151" t="inlineStr">
        <is>
          <t>Total Management</t>
        </is>
      </c>
      <c r="B14" s="200" t="n"/>
      <c r="C14" s="200" t="n"/>
      <c r="D14" s="200" t="n"/>
      <c r="E14" s="201" t="n"/>
      <c r="F14" s="8">
        <f>SUM(F7:F13)</f>
        <v/>
      </c>
      <c r="G14" s="8" t="n"/>
      <c r="H14" s="80">
        <f>SUM(H7:H13)</f>
        <v/>
      </c>
      <c r="I14" s="224" t="n"/>
      <c r="J14" s="225" t="n"/>
      <c r="K14" s="226" t="n"/>
      <c r="L14" s="52">
        <f>SUM(L7:L13)</f>
        <v/>
      </c>
      <c r="M14" s="53" t="n"/>
      <c r="N14" s="54">
        <f>SUM(N7:N13)</f>
        <v/>
      </c>
      <c r="O14" s="55" t="n"/>
      <c r="P14" s="56">
        <f>SUM(P7:P13)</f>
        <v/>
      </c>
    </row>
    <row r="15" ht="16.5" customHeight="1" thickTop="1">
      <c r="A15" s="155" t="n"/>
      <c r="B15" s="200" t="n"/>
      <c r="C15" s="200" t="n"/>
      <c r="D15" s="200" t="n"/>
      <c r="E15" s="200" t="n"/>
      <c r="F15" s="200" t="n"/>
      <c r="G15" s="200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1" t="n"/>
    </row>
    <row r="16" ht="16.5" customHeight="1" thickBot="1">
      <c r="A16" s="151" t="inlineStr">
        <is>
          <t>Labour</t>
        </is>
      </c>
      <c r="B16" s="200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0" t="n"/>
      <c r="M16" s="200" t="n"/>
      <c r="N16" s="200" t="n"/>
      <c r="O16" s="200" t="n"/>
      <c r="P16" s="201" t="n"/>
    </row>
    <row r="17" ht="16.5" customHeight="1" thickTop="1">
      <c r="A17" s="155" t="n">
        <v>1</v>
      </c>
      <c r="B17" s="31" t="inlineStr">
        <is>
          <t>Switching</t>
        </is>
      </c>
      <c r="C17" s="5" t="n"/>
      <c r="D17" s="5" t="n"/>
      <c r="E17" s="5" t="n"/>
      <c r="F17" s="5">
        <f>C17*D17*E17</f>
        <v/>
      </c>
      <c r="G17" s="57" t="n">
        <v>108</v>
      </c>
      <c r="H17" s="58">
        <f>F17*G17</f>
        <v/>
      </c>
      <c r="I17" s="41" t="n"/>
      <c r="J17" s="42" t="n"/>
      <c r="K17" s="42" t="n"/>
      <c r="L17" s="42">
        <f>I17*J17*K17</f>
        <v/>
      </c>
      <c r="M17" s="43" t="n">
        <v>195</v>
      </c>
      <c r="N17" s="44">
        <f>L17*M17</f>
        <v/>
      </c>
      <c r="O17" s="5" t="n">
        <v>0.85</v>
      </c>
      <c r="P17" s="45">
        <f>H17/O17+N17/O17</f>
        <v/>
      </c>
    </row>
    <row r="18" ht="47.25" customHeight="1">
      <c r="A18" s="155" t="n">
        <v>2</v>
      </c>
      <c r="B18" s="31" t="inlineStr">
        <is>
          <t>16 kV Breakers: Four (4) Siemens vacuum type breakers M13-1, M13-3, M13-4 and M13-6</t>
        </is>
      </c>
      <c r="C18" s="5" t="n"/>
      <c r="D18" s="5" t="n"/>
      <c r="E18" s="5" t="n"/>
      <c r="F18" s="5">
        <f>C18*D18*E18</f>
        <v/>
      </c>
      <c r="G18" s="57" t="n">
        <v>108</v>
      </c>
      <c r="H18" s="58">
        <f>F18*G18</f>
        <v/>
      </c>
      <c r="I18" s="59" t="n"/>
      <c r="J18" s="60" t="n"/>
      <c r="K18" s="60" t="n"/>
      <c r="L18" s="60">
        <f>I18*J18*K18</f>
        <v/>
      </c>
      <c r="M18" s="57" t="n">
        <v>195</v>
      </c>
      <c r="N18" s="61">
        <f>L18*M18</f>
        <v/>
      </c>
      <c r="O18" s="5" t="n">
        <v>0.85</v>
      </c>
      <c r="P18" s="49">
        <f>H18/O18+N18/O18</f>
        <v/>
      </c>
      <c r="U18" s="62" t="n"/>
    </row>
    <row r="19">
      <c r="A19" s="155" t="n">
        <v>3</v>
      </c>
      <c r="B19" s="18" t="inlineStr">
        <is>
          <t>2500 KVA transformer (CUB-T1)</t>
        </is>
      </c>
      <c r="C19" s="5" t="n"/>
      <c r="D19" s="5" t="n"/>
      <c r="E19" s="5" t="n"/>
      <c r="F19" s="5">
        <f>C19*D19*E19</f>
        <v/>
      </c>
      <c r="G19" s="57" t="n">
        <v>108</v>
      </c>
      <c r="H19" s="58">
        <f>F19*G19</f>
        <v/>
      </c>
      <c r="I19" s="59" t="n"/>
      <c r="J19" s="60" t="n"/>
      <c r="K19" s="60" t="n"/>
      <c r="L19" s="60">
        <f>I19*J19*K19</f>
        <v/>
      </c>
      <c r="M19" s="57" t="n">
        <v>195</v>
      </c>
      <c r="N19" s="61">
        <f>L19*M19</f>
        <v/>
      </c>
      <c r="O19" s="5" t="n">
        <v>0.85</v>
      </c>
      <c r="P19" s="49">
        <f>H19/O19+N19/O19</f>
        <v/>
      </c>
      <c r="R19" s="211" t="n"/>
      <c r="U19" s="62" t="n"/>
    </row>
    <row r="20" ht="31.5" customHeight="1">
      <c r="A20" s="155" t="n">
        <v>4</v>
      </c>
      <c r="B20" s="18" t="inlineStr">
        <is>
          <t>Switchgear CUB SWGR 600 Volt Cutler-Hammer Drawout Magnum Main</t>
        </is>
      </c>
      <c r="C20" s="5" t="n"/>
      <c r="D20" s="5" t="n"/>
      <c r="E20" s="5" t="n"/>
      <c r="F20" s="5">
        <f>C20*D20*E20</f>
        <v/>
      </c>
      <c r="G20" s="57" t="n">
        <v>108</v>
      </c>
      <c r="H20" s="58">
        <f>F20*G20</f>
        <v/>
      </c>
      <c r="I20" s="59" t="n"/>
      <c r="J20" s="60" t="n"/>
      <c r="K20" s="60" t="n"/>
      <c r="L20" s="60">
        <f>I20*J20*K20</f>
        <v/>
      </c>
      <c r="M20" s="57" t="n">
        <v>195</v>
      </c>
      <c r="N20" s="61">
        <f>L20*M20</f>
        <v/>
      </c>
      <c r="O20" s="5" t="n">
        <v>0.85</v>
      </c>
      <c r="P20" s="49">
        <f>H20/O20+N20/O20</f>
        <v/>
      </c>
      <c r="U20" s="62" t="n"/>
    </row>
    <row r="21">
      <c r="A21" s="155" t="n">
        <v>5</v>
      </c>
      <c r="B21" s="18" t="inlineStr">
        <is>
          <t>2500 KVA transformer (CUB-T2)</t>
        </is>
      </c>
      <c r="C21" s="5" t="n"/>
      <c r="D21" s="5" t="n"/>
      <c r="E21" s="5" t="n"/>
      <c r="F21" s="5">
        <f>C21*D21*E21</f>
        <v/>
      </c>
      <c r="G21" s="57" t="n">
        <v>108</v>
      </c>
      <c r="H21" s="58">
        <f>F21*G21</f>
        <v/>
      </c>
      <c r="I21" s="59" t="n"/>
      <c r="J21" s="60" t="n"/>
      <c r="K21" s="60" t="n"/>
      <c r="L21" s="60">
        <f>I21*J21*K21</f>
        <v/>
      </c>
      <c r="M21" s="57" t="n">
        <v>195</v>
      </c>
      <c r="N21" s="61">
        <f>L21*M21</f>
        <v/>
      </c>
      <c r="O21" s="5" t="n">
        <v>0.85</v>
      </c>
      <c r="P21" s="49">
        <f>H21/O21+N21/O21</f>
        <v/>
      </c>
    </row>
    <row r="22">
      <c r="A22" s="155" t="n">
        <v>6</v>
      </c>
      <c r="B22" s="18" t="inlineStr">
        <is>
          <t>8200 KVA CUB Cogen transformer</t>
        </is>
      </c>
      <c r="C22" s="5" t="n"/>
      <c r="D22" s="5" t="n"/>
      <c r="E22" s="5" t="n"/>
      <c r="F22" s="5">
        <f>C22*D22*E22</f>
        <v/>
      </c>
      <c r="G22" s="57" t="n">
        <v>108</v>
      </c>
      <c r="H22" s="58">
        <f>F22*G22</f>
        <v/>
      </c>
      <c r="I22" s="59" t="n"/>
      <c r="J22" s="60" t="n"/>
      <c r="K22" s="60" t="n"/>
      <c r="L22" s="60">
        <f>I22*J22*K22</f>
        <v/>
      </c>
      <c r="M22" s="57" t="n">
        <v>195</v>
      </c>
      <c r="N22" s="61">
        <f>L22*M22</f>
        <v/>
      </c>
      <c r="O22" s="5" t="n">
        <v>0.85</v>
      </c>
      <c r="P22" s="49">
        <f>H22/O22+N22/O22</f>
        <v/>
      </c>
    </row>
    <row r="23" ht="31.5" customHeight="1">
      <c r="A23" s="155" t="n">
        <v>7</v>
      </c>
      <c r="B23" s="18" t="inlineStr">
        <is>
          <t>5 kV Breakers: Four (4) Square vacuum type breakers</t>
        </is>
      </c>
      <c r="C23" s="5" t="n"/>
      <c r="D23" s="5" t="n"/>
      <c r="E23" s="5" t="n"/>
      <c r="F23" s="5">
        <f>C23*D23*E23</f>
        <v/>
      </c>
      <c r="G23" s="57" t="n">
        <v>108</v>
      </c>
      <c r="H23" s="58">
        <f>F23*G23</f>
        <v/>
      </c>
      <c r="I23" s="59" t="n"/>
      <c r="J23" s="60" t="n"/>
      <c r="K23" s="60" t="n"/>
      <c r="L23" s="60">
        <f>I23*J23*K23</f>
        <v/>
      </c>
      <c r="M23" s="57" t="n">
        <v>195</v>
      </c>
      <c r="N23" s="61">
        <f>L23*M23</f>
        <v/>
      </c>
      <c r="O23" s="5" t="n">
        <v>0.85</v>
      </c>
      <c r="P23" s="49">
        <f>H23/O23+N23/O23</f>
        <v/>
      </c>
    </row>
    <row r="24">
      <c r="A24" s="155" t="n">
        <v>8</v>
      </c>
      <c r="B24" s="18" t="inlineStr">
        <is>
          <t>750 kVA Black Start transformer</t>
        </is>
      </c>
      <c r="C24" s="5" t="n"/>
      <c r="D24" s="5" t="n"/>
      <c r="E24" s="5" t="n"/>
      <c r="F24" s="5">
        <f>C24*D24*E24</f>
        <v/>
      </c>
      <c r="G24" s="57" t="n">
        <v>108</v>
      </c>
      <c r="H24" s="58" t="n"/>
      <c r="I24" s="59" t="n"/>
      <c r="J24" s="60" t="n"/>
      <c r="K24" s="60" t="n"/>
      <c r="L24" s="60">
        <f>I24*J24*K24</f>
        <v/>
      </c>
      <c r="M24" s="57" t="n">
        <v>195</v>
      </c>
      <c r="N24" s="61" t="n"/>
      <c r="O24" s="5" t="n"/>
      <c r="P24" s="49" t="n"/>
    </row>
    <row r="25">
      <c r="A25" s="155" t="n">
        <v>9</v>
      </c>
      <c r="B25" s="18" t="inlineStr">
        <is>
          <t>Pole Work</t>
        </is>
      </c>
      <c r="C25" s="5" t="n"/>
      <c r="D25" s="5" t="n"/>
      <c r="E25" s="5" t="n"/>
      <c r="F25" s="5">
        <f>C25*D25*E25</f>
        <v/>
      </c>
      <c r="G25" s="57" t="n">
        <v>108</v>
      </c>
      <c r="H25" s="58">
        <f>F25*G25</f>
        <v/>
      </c>
      <c r="I25" s="59" t="n"/>
      <c r="J25" s="60" t="n"/>
      <c r="K25" s="60" t="n"/>
      <c r="L25" s="60">
        <f>I25*J25*K25</f>
        <v/>
      </c>
      <c r="M25" s="57" t="n">
        <v>195</v>
      </c>
      <c r="N25" s="61">
        <f>L25*M25</f>
        <v/>
      </c>
      <c r="O25" s="5" t="n">
        <v>0.85</v>
      </c>
      <c r="P25" s="49">
        <f>H25/O25+N25/O25</f>
        <v/>
      </c>
    </row>
    <row r="26" ht="15.75" customHeight="1">
      <c r="A26" s="151" t="inlineStr">
        <is>
          <t>Sub Total Labour</t>
        </is>
      </c>
      <c r="B26" s="200" t="n"/>
      <c r="C26" s="200" t="n"/>
      <c r="D26" s="200" t="n"/>
      <c r="E26" s="201" t="n"/>
      <c r="F26" s="8">
        <f>SUM(F17:F25)</f>
        <v/>
      </c>
      <c r="G26" s="8" t="n"/>
      <c r="H26" s="64">
        <f>SUM(H17:H25)</f>
        <v/>
      </c>
      <c r="I26" s="227" t="n"/>
      <c r="J26" s="202" t="n"/>
      <c r="K26" s="203" t="n"/>
      <c r="L26" s="65">
        <f>SUM(L17:L25)</f>
        <v/>
      </c>
      <c r="M26" s="53" t="n"/>
      <c r="N26" s="66">
        <f>SUM(N17:N25)</f>
        <v/>
      </c>
      <c r="O26" s="228" t="n"/>
      <c r="P26" s="67">
        <f>SUM(P17:P25)</f>
        <v/>
      </c>
      <c r="S26" s="22" t="n"/>
      <c r="T26" s="22" t="n"/>
    </row>
    <row r="27" ht="15.75" customFormat="1" customHeight="1" s="21" thickBot="1">
      <c r="A27" s="151" t="inlineStr">
        <is>
          <t>Subtotal Labour</t>
        </is>
      </c>
      <c r="B27" s="200" t="n"/>
      <c r="C27" s="200" t="n"/>
      <c r="D27" s="200" t="n"/>
      <c r="E27" s="201" t="n"/>
      <c r="F27" s="8">
        <f>F14+F26</f>
        <v/>
      </c>
      <c r="G27" s="229" t="n"/>
      <c r="H27" s="64">
        <f>H14+H26</f>
        <v/>
      </c>
      <c r="I27" s="230" t="n"/>
      <c r="J27" s="231" t="n"/>
      <c r="K27" s="232" t="n"/>
      <c r="L27" s="52">
        <f>L14+L26</f>
        <v/>
      </c>
      <c r="M27" s="233" t="n"/>
      <c r="N27" s="68">
        <f>N14+N26</f>
        <v/>
      </c>
      <c r="O27" s="205" t="n"/>
      <c r="P27" s="56">
        <f>P14+P26</f>
        <v/>
      </c>
      <c r="S27" s="22" t="n"/>
      <c r="T27" s="22" t="n"/>
    </row>
    <row r="28" ht="34.5" customFormat="1" customHeight="1" s="21" thickBot="1" thickTop="1">
      <c r="A28" s="147" t="inlineStr">
        <is>
          <t>Subcontractors</t>
        </is>
      </c>
      <c r="B28" s="202" t="n"/>
      <c r="C28" s="202" t="n"/>
      <c r="D28" s="202" t="n"/>
      <c r="E28" s="202" t="n"/>
      <c r="F28" s="202" t="n"/>
      <c r="G28" s="202" t="n"/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n"/>
      <c r="S28" s="22" t="n"/>
      <c r="T28" s="22" t="n"/>
      <c r="U28" s="22" t="n"/>
      <c r="V28" s="22" t="n"/>
      <c r="W28" s="22" t="n"/>
    </row>
    <row r="29" ht="19.5" customFormat="1" customHeight="1" s="21" thickBot="1">
      <c r="A29" s="69" t="inlineStr">
        <is>
          <t>Item</t>
        </is>
      </c>
      <c r="B29" s="69" t="inlineStr">
        <is>
          <t>Task</t>
        </is>
      </c>
      <c r="C29" s="35" t="inlineStr">
        <is>
          <t>Surcharge</t>
        </is>
      </c>
      <c r="D29" s="199" t="n"/>
      <c r="E29" s="35" t="inlineStr">
        <is>
          <t>Days/Units</t>
        </is>
      </c>
      <c r="F29" s="199" t="n"/>
      <c r="G29" s="36" t="inlineStr">
        <is>
          <t>Other</t>
        </is>
      </c>
      <c r="H29" s="199" t="n"/>
      <c r="I29" s="36" t="inlineStr">
        <is>
          <t>Total Surcharge</t>
        </is>
      </c>
      <c r="J29" s="199" t="n"/>
      <c r="K29" s="36" t="inlineStr">
        <is>
          <t>Unit Price</t>
        </is>
      </c>
      <c r="L29" s="199" t="n"/>
      <c r="M29" s="36" t="inlineStr">
        <is>
          <t>Subtotal 1</t>
        </is>
      </c>
      <c r="N29" s="199" t="n"/>
      <c r="O29" s="35" t="inlineStr">
        <is>
          <t>Margin</t>
        </is>
      </c>
      <c r="P29" s="186" t="inlineStr">
        <is>
          <t>Subtotal 2</t>
        </is>
      </c>
      <c r="S29" s="22" t="n"/>
      <c r="T29" s="22" t="n"/>
      <c r="U29" s="22" t="n"/>
      <c r="V29" s="22" t="n"/>
      <c r="W29" s="22" t="n"/>
    </row>
    <row r="30" ht="16.5" customFormat="1" customHeight="1" s="21" thickTop="1">
      <c r="A30" s="13" t="n">
        <v>1</v>
      </c>
      <c r="B30" s="14" t="inlineStr">
        <is>
          <t>Alectra</t>
        </is>
      </c>
      <c r="C30" s="234" t="n">
        <v>1</v>
      </c>
      <c r="D30" s="235" t="n"/>
      <c r="E30" s="234" t="n">
        <v>1</v>
      </c>
      <c r="F30" s="235" t="n"/>
      <c r="G30" s="234" t="n">
        <v>1</v>
      </c>
      <c r="H30" s="235" t="n"/>
      <c r="I30" s="236">
        <f>C30*E30*G30</f>
        <v/>
      </c>
      <c r="J30" s="220" t="n"/>
      <c r="K30" s="237" t="n">
        <v>2000</v>
      </c>
      <c r="L30" s="235" t="n"/>
      <c r="M30" s="238">
        <f>K30*I30</f>
        <v/>
      </c>
      <c r="N30" s="220" t="n"/>
      <c r="O30" s="5" t="n">
        <v>0.9</v>
      </c>
      <c r="P30" s="45">
        <f>M30/O30</f>
        <v/>
      </c>
      <c r="S30" s="22" t="n"/>
      <c r="T30" s="22" t="n"/>
      <c r="U30" s="22" t="n"/>
      <c r="V30" s="22" t="n"/>
      <c r="W30" s="22" t="n"/>
    </row>
    <row r="31" customFormat="1" s="21">
      <c r="A31" s="5" t="n">
        <v>2</v>
      </c>
      <c r="B31" s="18" t="inlineStr">
        <is>
          <t xml:space="preserve">parking </t>
        </is>
      </c>
      <c r="C31" s="5" t="n"/>
      <c r="D31" s="201" t="n"/>
      <c r="E31" s="5" t="n"/>
      <c r="F31" s="201" t="n"/>
      <c r="G31" s="5" t="n"/>
      <c r="H31" s="201" t="n"/>
      <c r="I31" s="5">
        <f>C31*E31*G31</f>
        <v/>
      </c>
      <c r="J31" s="201" t="n"/>
      <c r="K31" s="239" t="n"/>
      <c r="L31" s="201" t="n"/>
      <c r="M31" s="121">
        <f>K31*I31</f>
        <v/>
      </c>
      <c r="N31" s="201" t="n"/>
      <c r="O31" s="5" t="n">
        <v>0.85</v>
      </c>
      <c r="P31" s="50">
        <f>M31/O31</f>
        <v/>
      </c>
      <c r="S31" s="22" t="n"/>
      <c r="T31" s="22" t="n"/>
      <c r="U31" s="22" t="n"/>
      <c r="V31" s="22" t="n"/>
      <c r="W31" s="22" t="n"/>
    </row>
    <row r="32" customFormat="1" s="21">
      <c r="A32" s="5" t="n">
        <v>3</v>
      </c>
      <c r="B32" s="18" t="inlineStr">
        <is>
          <t>Millwrighting</t>
        </is>
      </c>
      <c r="C32" s="5" t="n"/>
      <c r="D32" s="201" t="n"/>
      <c r="E32" s="5" t="n"/>
      <c r="F32" s="201" t="n"/>
      <c r="G32" s="5" t="n"/>
      <c r="H32" s="201" t="n"/>
      <c r="I32" s="5">
        <f>C32*E32*G32</f>
        <v/>
      </c>
      <c r="J32" s="201" t="n"/>
      <c r="K32" s="239" t="n"/>
      <c r="L32" s="201" t="n"/>
      <c r="M32" s="121">
        <f>K32*I32</f>
        <v/>
      </c>
      <c r="N32" s="201" t="n"/>
      <c r="O32" s="5" t="n">
        <v>0.85</v>
      </c>
      <c r="P32" s="50">
        <f>M32/O32</f>
        <v/>
      </c>
      <c r="S32" s="22" t="n"/>
      <c r="T32" s="22" t="n"/>
      <c r="U32" s="22" t="n"/>
      <c r="V32" s="22" t="n"/>
      <c r="W32" s="22" t="n"/>
    </row>
    <row r="33" customFormat="1" s="21">
      <c r="A33" s="5" t="n">
        <v>4</v>
      </c>
      <c r="B33" s="18" t="inlineStr">
        <is>
          <t>Temp Door</t>
        </is>
      </c>
      <c r="C33" s="5" t="n"/>
      <c r="D33" s="201" t="n"/>
      <c r="E33" s="5" t="n"/>
      <c r="F33" s="201" t="n"/>
      <c r="G33" s="5" t="n"/>
      <c r="H33" s="201" t="n"/>
      <c r="I33" s="5">
        <f>C33*E33*G33</f>
        <v/>
      </c>
      <c r="J33" s="201" t="n"/>
      <c r="K33" s="239" t="n"/>
      <c r="L33" s="201" t="n"/>
      <c r="M33" s="121">
        <f>K33*I33</f>
        <v/>
      </c>
      <c r="N33" s="201" t="n"/>
      <c r="O33" s="5" t="n">
        <v>0.85</v>
      </c>
      <c r="P33" s="50">
        <f>M33/O33</f>
        <v/>
      </c>
      <c r="S33" s="22" t="n"/>
      <c r="T33" s="22" t="n"/>
      <c r="U33" s="22" t="n"/>
      <c r="V33" s="22" t="n"/>
      <c r="W33" s="22" t="n"/>
    </row>
    <row r="34" customFormat="1" s="21">
      <c r="A34" s="5" t="n">
        <v>5</v>
      </c>
      <c r="B34" s="18" t="inlineStr">
        <is>
          <t>Bonding Costs</t>
        </is>
      </c>
      <c r="C34" s="5" t="n"/>
      <c r="D34" s="201" t="n"/>
      <c r="E34" s="5" t="n"/>
      <c r="F34" s="201" t="n"/>
      <c r="G34" s="5" t="n"/>
      <c r="H34" s="201" t="n"/>
      <c r="I34" s="5">
        <f>C34*E34*G34</f>
        <v/>
      </c>
      <c r="J34" s="201" t="n"/>
      <c r="K34" s="239" t="n"/>
      <c r="L34" s="201" t="n"/>
      <c r="M34" s="121">
        <f>K34*I34</f>
        <v/>
      </c>
      <c r="N34" s="201" t="n"/>
      <c r="O34" s="5" t="n">
        <v>0.85</v>
      </c>
      <c r="P34" s="50">
        <f>M34/O34</f>
        <v/>
      </c>
      <c r="S34" s="22" t="n"/>
      <c r="T34" s="22" t="n"/>
      <c r="U34" s="22" t="n"/>
      <c r="V34" s="22" t="n"/>
      <c r="W34" s="22" t="n"/>
    </row>
    <row r="35" customFormat="1" s="21">
      <c r="A35" s="5" t="n"/>
      <c r="B35" s="18" t="n"/>
      <c r="C35" s="5" t="n"/>
      <c r="D35" s="201" t="n"/>
      <c r="E35" s="5" t="n"/>
      <c r="F35" s="201" t="n"/>
      <c r="G35" s="5" t="n"/>
      <c r="H35" s="201" t="n"/>
      <c r="I35" s="5">
        <f>C35*E35*G35</f>
        <v/>
      </c>
      <c r="J35" s="201" t="n"/>
      <c r="K35" s="239" t="n"/>
      <c r="L35" s="201" t="n"/>
      <c r="M35" s="121">
        <f>K35*I35</f>
        <v/>
      </c>
      <c r="N35" s="201" t="n"/>
      <c r="O35" s="5" t="n">
        <v>0.85</v>
      </c>
      <c r="P35" s="50">
        <f>M35/O35</f>
        <v/>
      </c>
      <c r="S35" s="22" t="n"/>
      <c r="T35" s="22" t="n"/>
      <c r="U35" s="22" t="n"/>
      <c r="V35" s="22" t="n"/>
      <c r="W35" s="22" t="n"/>
    </row>
    <row r="36" customFormat="1" s="21">
      <c r="A36" s="5" t="n"/>
      <c r="B36" s="18" t="n"/>
      <c r="C36" s="5" t="n"/>
      <c r="D36" s="201" t="n"/>
      <c r="E36" s="5" t="n"/>
      <c r="F36" s="201" t="n"/>
      <c r="G36" s="5" t="n"/>
      <c r="H36" s="201" t="n"/>
      <c r="I36" s="13">
        <f>C36*E36*G36</f>
        <v/>
      </c>
      <c r="J36" s="206" t="n"/>
      <c r="K36" s="239" t="n"/>
      <c r="L36" s="201" t="n"/>
      <c r="M36" s="15">
        <f>K36*I36</f>
        <v/>
      </c>
      <c r="N36" s="206" t="n"/>
      <c r="O36" s="5" t="n">
        <v>0.85</v>
      </c>
      <c r="P36" s="50">
        <f>M36/O36</f>
        <v/>
      </c>
      <c r="S36" s="22" t="n"/>
      <c r="T36" s="22" t="n"/>
      <c r="U36" s="22" t="n"/>
      <c r="V36" s="22" t="n"/>
      <c r="W36" s="22" t="n"/>
    </row>
    <row r="37" ht="15.75" customFormat="1" customHeight="1" s="21" thickBot="1">
      <c r="A37" s="128" t="inlineStr">
        <is>
          <t>Subtotal Subcontractors</t>
        </is>
      </c>
      <c r="B37" s="240" t="n"/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  <c r="N37" s="240" t="n"/>
      <c r="O37" s="240" t="n"/>
      <c r="P37" s="56">
        <f>SUM(P30:P36)</f>
        <v/>
      </c>
      <c r="S37" s="22" t="n"/>
      <c r="T37" s="22" t="n"/>
      <c r="U37" s="22" t="n"/>
      <c r="V37" s="22" t="n"/>
      <c r="W37" s="22" t="n"/>
    </row>
    <row r="38" ht="34.5" customHeight="1" thickBot="1">
      <c r="A38" s="150" t="inlineStr">
        <is>
          <t>Materials and Equipment</t>
        </is>
      </c>
      <c r="B38" s="198" t="n"/>
      <c r="C38" s="198" t="n"/>
      <c r="D38" s="198" t="n"/>
      <c r="E38" s="198" t="n"/>
      <c r="F38" s="198" t="n"/>
      <c r="G38" s="198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9" t="n"/>
      <c r="S38" s="22" t="n"/>
      <c r="T38" s="22" t="n"/>
      <c r="U38" s="22" t="n"/>
      <c r="V38" s="22" t="n"/>
      <c r="W38" s="22" t="n"/>
    </row>
    <row r="39" ht="19.5" customHeight="1" thickBot="1">
      <c r="A39" s="69" t="inlineStr">
        <is>
          <t>Item</t>
        </is>
      </c>
      <c r="B39" s="69" t="inlineStr">
        <is>
          <t>Material Item</t>
        </is>
      </c>
      <c r="C39" s="35" t="inlineStr">
        <is>
          <t>Surcharge</t>
        </is>
      </c>
      <c r="D39" s="199" t="n"/>
      <c r="E39" s="35" t="inlineStr">
        <is>
          <t>Units/Length</t>
        </is>
      </c>
      <c r="F39" s="199" t="n"/>
      <c r="G39" s="36" t="inlineStr">
        <is>
          <t>Other</t>
        </is>
      </c>
      <c r="H39" s="199" t="n"/>
      <c r="I39" s="36" t="inlineStr">
        <is>
          <t>Total Surcharge</t>
        </is>
      </c>
      <c r="J39" s="199" t="n"/>
      <c r="K39" s="36" t="inlineStr">
        <is>
          <t>Unit Price</t>
        </is>
      </c>
      <c r="L39" s="199" t="n"/>
      <c r="M39" s="36" t="inlineStr">
        <is>
          <t>Subtotal 1</t>
        </is>
      </c>
      <c r="N39" s="199" t="n"/>
      <c r="O39" s="35" t="inlineStr">
        <is>
          <t>Margin</t>
        </is>
      </c>
      <c r="P39" s="186" t="inlineStr">
        <is>
          <t>Subtotal 2</t>
        </is>
      </c>
      <c r="S39" s="22" t="n"/>
      <c r="T39" s="22" t="n"/>
      <c r="U39" s="22" t="n"/>
      <c r="V39" s="22" t="n"/>
      <c r="W39" s="22" t="n"/>
    </row>
    <row r="40" ht="16.5" customHeight="1" thickTop="1">
      <c r="A40" s="13" t="n">
        <v>1</v>
      </c>
      <c r="B40" s="14" t="inlineStr">
        <is>
          <t>Batteries</t>
        </is>
      </c>
      <c r="C40" s="236" t="n">
        <v>1</v>
      </c>
      <c r="D40" s="220" t="n"/>
      <c r="E40" s="236" t="n">
        <v>10</v>
      </c>
      <c r="F40" s="220" t="n"/>
      <c r="G40" s="236" t="n">
        <v>1</v>
      </c>
      <c r="H40" s="220" t="n"/>
      <c r="I40" s="236">
        <f>G40*E40*C40</f>
        <v/>
      </c>
      <c r="J40" s="220" t="n"/>
      <c r="K40" s="241" t="n">
        <v>12</v>
      </c>
      <c r="L40" s="220" t="n"/>
      <c r="M40" s="238">
        <f>K40*I40</f>
        <v/>
      </c>
      <c r="N40" s="220" t="n"/>
      <c r="O40" s="5" t="n">
        <v>0.85</v>
      </c>
      <c r="P40" s="70">
        <f>M40/O40</f>
        <v/>
      </c>
      <c r="S40" s="22" t="n"/>
      <c r="T40" s="22" t="n"/>
      <c r="U40" s="22" t="n"/>
      <c r="V40" s="22" t="n"/>
      <c r="W40" s="22" t="n"/>
    </row>
    <row r="41">
      <c r="A41" s="13" t="n">
        <v>2</v>
      </c>
      <c r="B41" s="4" t="n"/>
      <c r="C41" s="5" t="n"/>
      <c r="D41" s="201" t="n"/>
      <c r="E41" s="5" t="n"/>
      <c r="F41" s="201" t="n"/>
      <c r="G41" s="5" t="n"/>
      <c r="H41" s="201" t="n"/>
      <c r="I41" s="5">
        <f>G41*E41*C41</f>
        <v/>
      </c>
      <c r="J41" s="201" t="n"/>
      <c r="K41" s="239" t="n"/>
      <c r="L41" s="201" t="n"/>
      <c r="M41" s="121">
        <f>K41*I41</f>
        <v/>
      </c>
      <c r="N41" s="201" t="n"/>
      <c r="O41" s="5" t="n">
        <v>0.85</v>
      </c>
      <c r="P41" s="71">
        <f>M41/O41</f>
        <v/>
      </c>
      <c r="S41" s="22" t="n"/>
      <c r="T41" s="73" t="n"/>
      <c r="U41" s="22" t="n"/>
      <c r="V41" s="22" t="n"/>
      <c r="W41" s="22" t="n"/>
    </row>
    <row r="42" customFormat="1" s="21">
      <c r="A42" s="109" t="inlineStr">
        <is>
          <t>Subtotal Materials and Equipment</t>
        </is>
      </c>
      <c r="B42" s="200" t="n"/>
      <c r="C42" s="200" t="n"/>
      <c r="D42" s="200" t="n"/>
      <c r="E42" s="200" t="n"/>
      <c r="F42" s="200" t="n"/>
      <c r="G42" s="200" t="n"/>
      <c r="H42" s="200" t="n"/>
      <c r="I42" s="200" t="n"/>
      <c r="J42" s="200" t="n"/>
      <c r="K42" s="200" t="n"/>
      <c r="L42" s="200" t="n"/>
      <c r="M42" s="200" t="n"/>
      <c r="N42" s="200" t="n"/>
      <c r="O42" s="200" t="n"/>
      <c r="P42" s="74">
        <f>SUM(P40:P41)</f>
        <v/>
      </c>
      <c r="S42" s="22" t="n"/>
      <c r="T42" s="22" t="n"/>
      <c r="U42" s="22" t="n"/>
      <c r="V42" s="22" t="n"/>
      <c r="W42" s="22" t="n"/>
    </row>
    <row r="43" ht="16.5" customHeight="1" thickTop="1">
      <c r="A43" s="33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3" t="n"/>
      <c r="S43" s="22" t="n"/>
      <c r="T43" s="22" t="n"/>
      <c r="U43" s="22" t="n"/>
      <c r="V43" s="22" t="n"/>
      <c r="W43" s="22" t="n"/>
    </row>
    <row r="44">
      <c r="A44" s="204" t="n"/>
      <c r="B44" s="205" t="n"/>
      <c r="C44" s="205" t="n"/>
      <c r="D44" s="205" t="n"/>
      <c r="E44" s="205" t="n"/>
      <c r="F44" s="205" t="n"/>
      <c r="G44" s="205" t="n"/>
      <c r="H44" s="205" t="n"/>
      <c r="I44" s="205" t="n"/>
      <c r="J44" s="205" t="n"/>
      <c r="K44" s="205" t="n"/>
      <c r="L44" s="205" t="n"/>
      <c r="M44" s="205" t="n"/>
      <c r="N44" s="205" t="n"/>
      <c r="O44" s="205" t="n"/>
      <c r="P44" s="206" t="n"/>
      <c r="S44" s="22" t="n"/>
      <c r="T44" s="22" t="n"/>
      <c r="U44" s="22" t="n"/>
      <c r="V44" s="22" t="n"/>
      <c r="W44" s="22" t="n"/>
    </row>
    <row r="45">
      <c r="A45" s="103" t="inlineStr">
        <is>
          <t>Project Subtotal</t>
        </is>
      </c>
      <c r="B45" s="200" t="n"/>
      <c r="C45" s="200" t="n"/>
      <c r="D45" s="200" t="n"/>
      <c r="E45" s="200" t="n"/>
      <c r="F45" s="200" t="n"/>
      <c r="G45" s="200" t="n"/>
      <c r="H45" s="200" t="n"/>
      <c r="I45" s="200" t="n"/>
      <c r="J45" s="200" t="n"/>
      <c r="K45" s="200" t="n"/>
      <c r="L45" s="200" t="n"/>
      <c r="M45" s="200" t="n"/>
      <c r="N45" s="200" t="n"/>
      <c r="O45" s="201" t="n"/>
      <c r="P45" s="75">
        <f>P27+P37+P42</f>
        <v/>
      </c>
      <c r="S45" s="22" t="n"/>
      <c r="T45" s="22" t="n"/>
      <c r="U45" s="22" t="n"/>
      <c r="V45" s="22" t="n"/>
      <c r="W45" s="22" t="n"/>
    </row>
    <row r="46">
      <c r="A46" s="103" t="n"/>
      <c r="B46" s="200" t="n"/>
      <c r="C46" s="200" t="n"/>
      <c r="D46" s="200" t="n"/>
      <c r="E46" s="200" t="n"/>
      <c r="F46" s="200" t="n"/>
      <c r="G46" s="200" t="n"/>
      <c r="H46" s="200" t="n"/>
      <c r="I46" s="200" t="n"/>
      <c r="J46" s="200" t="n"/>
      <c r="K46" s="200" t="n"/>
      <c r="L46" s="200" t="n"/>
      <c r="M46" s="200" t="n"/>
      <c r="N46" s="200" t="n"/>
      <c r="O46" s="200" t="n"/>
      <c r="P46" s="201" t="n"/>
      <c r="S46" s="22" t="n"/>
      <c r="T46" s="22" t="n"/>
      <c r="U46" s="22" t="n"/>
      <c r="V46" s="22" t="n"/>
      <c r="W46" s="22" t="n"/>
    </row>
    <row r="47">
      <c r="A47" s="103" t="inlineStr">
        <is>
          <t>Cash Allowance</t>
        </is>
      </c>
      <c r="B47" s="200" t="n"/>
      <c r="C47" s="200" t="n"/>
      <c r="D47" s="200" t="n"/>
      <c r="E47" s="200" t="n"/>
      <c r="F47" s="200" t="n"/>
      <c r="G47" s="200" t="n"/>
      <c r="H47" s="200" t="n"/>
      <c r="I47" s="200" t="n"/>
      <c r="J47" s="200" t="n"/>
      <c r="K47" s="200" t="n"/>
      <c r="L47" s="200" t="n"/>
      <c r="M47" s="200" t="n"/>
      <c r="N47" s="200" t="n"/>
      <c r="O47" s="201" t="n"/>
      <c r="P47" s="75" t="n">
        <v>0</v>
      </c>
      <c r="S47" s="22" t="n"/>
      <c r="T47" s="22" t="n"/>
      <c r="U47" s="22" t="n"/>
      <c r="V47" s="22" t="n"/>
      <c r="W47" s="22" t="n"/>
    </row>
    <row r="48">
      <c r="A48" s="103" t="n"/>
      <c r="B48" s="200" t="n"/>
      <c r="C48" s="200" t="n"/>
      <c r="D48" s="200" t="n"/>
      <c r="E48" s="200" t="n"/>
      <c r="F48" s="200" t="n"/>
      <c r="G48" s="200" t="n"/>
      <c r="H48" s="200" t="n"/>
      <c r="I48" s="200" t="n"/>
      <c r="J48" s="200" t="n"/>
      <c r="K48" s="200" t="n"/>
      <c r="L48" s="200" t="n"/>
      <c r="M48" s="200" t="n"/>
      <c r="N48" s="200" t="n"/>
      <c r="O48" s="200" t="n"/>
      <c r="P48" s="201" t="n"/>
      <c r="S48" s="22" t="n"/>
      <c r="T48" s="22" t="n"/>
      <c r="U48" s="22" t="n"/>
      <c r="V48" s="22" t="n"/>
      <c r="W48" s="22" t="n"/>
    </row>
    <row r="49">
      <c r="A49" s="103" t="inlineStr">
        <is>
          <t>Utility Isolation</t>
        </is>
      </c>
      <c r="B49" s="200" t="n"/>
      <c r="C49" s="200" t="n"/>
      <c r="D49" s="200" t="n"/>
      <c r="E49" s="200" t="n"/>
      <c r="F49" s="200" t="n"/>
      <c r="G49" s="200" t="n"/>
      <c r="H49" s="200" t="n"/>
      <c r="I49" s="200" t="n"/>
      <c r="J49" s="200" t="n"/>
      <c r="K49" s="200" t="n"/>
      <c r="L49" s="200" t="n"/>
      <c r="M49" s="200" t="n"/>
      <c r="N49" s="200" t="n"/>
      <c r="O49" s="201" t="n"/>
      <c r="P49" s="75" t="n">
        <v>0</v>
      </c>
      <c r="S49" s="22" t="n"/>
      <c r="T49" s="22" t="n"/>
      <c r="U49" s="22" t="n"/>
      <c r="V49" s="22" t="n"/>
      <c r="W49" s="22" t="n"/>
    </row>
    <row r="50">
      <c r="A50" s="103" t="n"/>
      <c r="B50" s="200" t="n"/>
      <c r="C50" s="200" t="n"/>
      <c r="D50" s="200" t="n"/>
      <c r="E50" s="200" t="n"/>
      <c r="F50" s="200" t="n"/>
      <c r="G50" s="200" t="n"/>
      <c r="H50" s="200" t="n"/>
      <c r="I50" s="200" t="n"/>
      <c r="J50" s="200" t="n"/>
      <c r="K50" s="200" t="n"/>
      <c r="L50" s="200" t="n"/>
      <c r="M50" s="200" t="n"/>
      <c r="N50" s="200" t="n"/>
      <c r="O50" s="200" t="n"/>
      <c r="P50" s="201" t="n"/>
      <c r="S50" s="22" t="n"/>
      <c r="T50" s="22" t="n"/>
      <c r="U50" s="22" t="n"/>
      <c r="V50" s="22" t="n"/>
      <c r="W50" s="22" t="n"/>
    </row>
    <row r="51">
      <c r="A51" s="104" t="inlineStr">
        <is>
          <t>Discount</t>
        </is>
      </c>
      <c r="B51" s="200" t="n"/>
      <c r="C51" s="200" t="n"/>
      <c r="D51" s="200" t="n"/>
      <c r="E51" s="200" t="n"/>
      <c r="F51" s="200" t="n"/>
      <c r="G51" s="200" t="n"/>
      <c r="H51" s="200" t="n"/>
      <c r="I51" s="200" t="n"/>
      <c r="J51" s="200" t="n"/>
      <c r="K51" s="200" t="n"/>
      <c r="L51" s="200" t="n"/>
      <c r="M51" s="200" t="n"/>
      <c r="N51" s="200" t="n"/>
      <c r="O51" s="201" t="n"/>
      <c r="P51" s="76" t="n">
        <v>0</v>
      </c>
      <c r="S51" s="22" t="n"/>
      <c r="T51" s="22" t="n"/>
      <c r="U51" s="22" t="n"/>
      <c r="V51" s="22" t="n"/>
      <c r="W51" s="22" t="n"/>
    </row>
    <row r="52">
      <c r="A52" s="189" t="n"/>
      <c r="B52" s="200" t="n"/>
      <c r="C52" s="200" t="n"/>
      <c r="D52" s="200" t="n"/>
      <c r="E52" s="200" t="n"/>
      <c r="F52" s="200" t="n"/>
      <c r="G52" s="200" t="n"/>
      <c r="H52" s="200" t="n"/>
      <c r="I52" s="200" t="n"/>
      <c r="J52" s="200" t="n"/>
      <c r="K52" s="200" t="n"/>
      <c r="L52" s="200" t="n"/>
      <c r="M52" s="200" t="n"/>
      <c r="N52" s="200" t="n"/>
      <c r="O52" s="200" t="n"/>
      <c r="P52" s="201" t="n"/>
      <c r="S52" s="22" t="n"/>
      <c r="T52" s="22" t="n"/>
      <c r="U52" s="22" t="n"/>
      <c r="V52" s="22" t="n"/>
      <c r="W52" s="22" t="n"/>
    </row>
    <row r="53">
      <c r="A53" s="103" t="inlineStr">
        <is>
          <t>Project Total</t>
        </is>
      </c>
      <c r="B53" s="200" t="n"/>
      <c r="C53" s="200" t="n"/>
      <c r="D53" s="200" t="n"/>
      <c r="E53" s="200" t="n"/>
      <c r="F53" s="200" t="n"/>
      <c r="G53" s="200" t="n"/>
      <c r="H53" s="200" t="n"/>
      <c r="I53" s="200" t="n"/>
      <c r="J53" s="200" t="n"/>
      <c r="K53" s="200" t="n"/>
      <c r="L53" s="200" t="n"/>
      <c r="M53" s="200" t="n"/>
      <c r="N53" s="200" t="n"/>
      <c r="O53" s="201" t="n"/>
      <c r="P53" s="75">
        <f>SUM(P45,P47,P49, P51)</f>
        <v/>
      </c>
      <c r="S53" s="22" t="n"/>
      <c r="T53" s="73" t="n"/>
      <c r="U53" s="22" t="n"/>
      <c r="V53" s="22" t="n"/>
      <c r="W53" s="22" t="n"/>
    </row>
    <row r="54">
      <c r="A54" s="103" t="inlineStr">
        <is>
          <t>HST</t>
        </is>
      </c>
      <c r="B54" s="200" t="n"/>
      <c r="C54" s="200" t="n"/>
      <c r="D54" s="200" t="n"/>
      <c r="E54" s="200" t="n"/>
      <c r="F54" s="200" t="n"/>
      <c r="G54" s="200" t="n"/>
      <c r="H54" s="200" t="n"/>
      <c r="I54" s="200" t="n"/>
      <c r="J54" s="200" t="n"/>
      <c r="K54" s="200" t="n"/>
      <c r="L54" s="200" t="n"/>
      <c r="M54" s="200" t="n"/>
      <c r="N54" s="200" t="n"/>
      <c r="O54" s="201" t="n"/>
      <c r="P54" s="75">
        <f>P53*0.13</f>
        <v/>
      </c>
    </row>
    <row r="55">
      <c r="A55" s="103" t="inlineStr">
        <is>
          <t>TOTAL</t>
        </is>
      </c>
      <c r="B55" s="200" t="n"/>
      <c r="C55" s="200" t="n"/>
      <c r="D55" s="200" t="n"/>
      <c r="E55" s="200" t="n"/>
      <c r="F55" s="200" t="n"/>
      <c r="G55" s="200" t="n"/>
      <c r="H55" s="200" t="n"/>
      <c r="I55" s="200" t="n"/>
      <c r="J55" s="200" t="n"/>
      <c r="K55" s="200" t="n"/>
      <c r="L55" s="200" t="n"/>
      <c r="M55" s="200" t="n"/>
      <c r="N55" s="200" t="n"/>
      <c r="O55" s="201" t="n"/>
      <c r="P55" s="75">
        <f>P53+P54</f>
        <v/>
      </c>
    </row>
    <row r="56">
      <c r="A56" s="27" t="inlineStr">
        <is>
          <t>HST Check for final price should be the same as above</t>
        </is>
      </c>
      <c r="P56" s="29">
        <f>P53*1.13</f>
        <v/>
      </c>
    </row>
    <row r="60" ht="16.5" customHeight="1" thickBot="1"/>
    <row r="61" ht="32.25" customHeight="1" thickBot="1">
      <c r="B61" s="27" t="inlineStr">
        <is>
          <t>APS (Cost)</t>
        </is>
      </c>
      <c r="C61" s="93" t="inlineStr">
        <is>
          <t>Regular</t>
        </is>
      </c>
      <c r="D61" s="93" t="inlineStr">
        <is>
          <t>Regular W/truck</t>
        </is>
      </c>
      <c r="E61" s="199" t="n"/>
      <c r="F61" s="82" t="inlineStr">
        <is>
          <t>Double Time</t>
        </is>
      </c>
      <c r="G61" s="82" t="inlineStr">
        <is>
          <t>Double Time W/truck</t>
        </is>
      </c>
      <c r="H61" s="83" t="inlineStr">
        <is>
          <t>Shift 20%</t>
        </is>
      </c>
      <c r="I61" s="83" t="inlineStr">
        <is>
          <t>Shift 20% W/truck</t>
        </is>
      </c>
    </row>
    <row r="62">
      <c r="B62" s="77" t="inlineStr">
        <is>
          <t xml:space="preserve">FOREMAN                                          </t>
        </is>
      </c>
      <c r="C62" s="207" t="n">
        <v>102</v>
      </c>
      <c r="D62" s="207">
        <f>(C62+18.5)</f>
        <v/>
      </c>
      <c r="E62" s="206" t="n"/>
      <c r="F62" s="208" t="n">
        <v>203.99</v>
      </c>
      <c r="G62" s="208">
        <f>(F62+18.5)</f>
        <v/>
      </c>
      <c r="H62" s="209" t="n">
        <v>122.38</v>
      </c>
      <c r="I62" s="210">
        <f>H62+18.5</f>
        <v/>
      </c>
      <c r="J62" s="211" t="n"/>
      <c r="K62" s="211" t="n"/>
    </row>
    <row r="63">
      <c r="B63" s="77" t="inlineStr">
        <is>
          <t xml:space="preserve">JOURNEYMAN                                 </t>
        </is>
      </c>
      <c r="C63" s="212" t="n">
        <v>90.93000000000001</v>
      </c>
      <c r="D63" s="207">
        <f>(C63+18.5)</f>
        <v/>
      </c>
      <c r="E63" s="206" t="n"/>
      <c r="F63" s="213" t="n">
        <v>181.86</v>
      </c>
      <c r="G63" s="208">
        <f>(F63+18.5)</f>
        <v/>
      </c>
      <c r="H63" s="214" t="n">
        <v>109.13</v>
      </c>
      <c r="I63" s="210">
        <f>H63+18.5</f>
        <v/>
      </c>
      <c r="J63" s="211" t="n"/>
      <c r="K63" s="211" t="n"/>
    </row>
    <row r="64">
      <c r="B64" s="77" t="inlineStr">
        <is>
          <t xml:space="preserve">APPRENTICE #5                                </t>
        </is>
      </c>
      <c r="C64" s="212" t="n">
        <v>74.01000000000001</v>
      </c>
      <c r="D64" s="207">
        <f>(C64+18.5)</f>
        <v/>
      </c>
      <c r="E64" s="206" t="n"/>
      <c r="F64" s="213" t="n">
        <v>147.98</v>
      </c>
      <c r="G64" s="208">
        <f>(F64+18.5)</f>
        <v/>
      </c>
      <c r="H64" s="214" t="n">
        <v>88.78</v>
      </c>
      <c r="I64" s="210">
        <f>H64+18.5</f>
        <v/>
      </c>
      <c r="J64" s="211" t="n"/>
      <c r="K64" s="211" t="n"/>
    </row>
    <row r="65">
      <c r="B65" s="77" t="inlineStr">
        <is>
          <t xml:space="preserve">APPRENTICE #4                                </t>
        </is>
      </c>
      <c r="C65" s="212" t="n">
        <v>65.65000000000001</v>
      </c>
      <c r="D65" s="207">
        <f>(C65+18.5)</f>
        <v/>
      </c>
      <c r="E65" s="206" t="n"/>
      <c r="F65" s="213" t="n">
        <v>131.3</v>
      </c>
      <c r="G65" s="208">
        <f>(F65+18.5)</f>
        <v/>
      </c>
      <c r="H65" s="214" t="n">
        <v>78.79000000000001</v>
      </c>
      <c r="I65" s="210">
        <f>H65+18.5</f>
        <v/>
      </c>
      <c r="J65" s="211" t="n"/>
      <c r="K65" s="211" t="n"/>
    </row>
    <row r="66">
      <c r="B66" s="77" t="inlineStr">
        <is>
          <t xml:space="preserve">APPRENTICE #3                              </t>
        </is>
      </c>
      <c r="C66" s="212" t="n">
        <v>57.28</v>
      </c>
      <c r="D66" s="207">
        <f>(C66+18.5)</f>
        <v/>
      </c>
      <c r="E66" s="206" t="n"/>
      <c r="F66" s="213" t="n">
        <v>114.57</v>
      </c>
      <c r="G66" s="208">
        <f>(F66+18.5)</f>
        <v/>
      </c>
      <c r="H66" s="214" t="n">
        <v>68.73999999999999</v>
      </c>
      <c r="I66" s="210">
        <f>H66+18.5</f>
        <v/>
      </c>
      <c r="J66" s="211" t="n"/>
      <c r="K66" s="211" t="n"/>
    </row>
    <row r="67">
      <c r="B67" s="77" t="inlineStr">
        <is>
          <t xml:space="preserve">APPRENTICE #2                                 </t>
        </is>
      </c>
      <c r="C67" s="212" t="n">
        <v>48.95</v>
      </c>
      <c r="D67" s="207">
        <f>(C67+18.5)</f>
        <v/>
      </c>
      <c r="E67" s="206" t="n"/>
      <c r="F67" s="213" t="n">
        <v>97.84999999999999</v>
      </c>
      <c r="G67" s="208">
        <f>(F67+18.5)</f>
        <v/>
      </c>
      <c r="H67" s="214" t="n">
        <v>58.71</v>
      </c>
      <c r="I67" s="210">
        <f>H67+18.5</f>
        <v/>
      </c>
      <c r="J67" s="211" t="n"/>
      <c r="K67" s="211" t="n"/>
    </row>
    <row r="68">
      <c r="B68" s="77" t="inlineStr">
        <is>
          <t xml:space="preserve">APPRENTICE #1                                 </t>
        </is>
      </c>
      <c r="C68" s="212" t="n">
        <v>40.57</v>
      </c>
      <c r="D68" s="207">
        <f>(C68+18.5)</f>
        <v/>
      </c>
      <c r="E68" s="206" t="n"/>
      <c r="F68" s="213" t="n">
        <v>81.15000000000001</v>
      </c>
      <c r="G68" s="208">
        <f>(F68+18.5)</f>
        <v/>
      </c>
      <c r="H68" s="214" t="n">
        <v>48.69</v>
      </c>
      <c r="I68" s="210">
        <f>H68+18.5</f>
        <v/>
      </c>
      <c r="J68" s="211" t="n"/>
      <c r="K68" s="211" t="n"/>
    </row>
    <row r="69">
      <c r="B69" s="77" t="inlineStr">
        <is>
          <t>pre apprentice</t>
        </is>
      </c>
      <c r="C69" s="212" t="n">
        <v>32.43</v>
      </c>
      <c r="D69" s="207">
        <f>(C69+18.5)</f>
        <v/>
      </c>
      <c r="E69" s="206" t="n"/>
      <c r="F69" s="213" t="n">
        <v>64.86</v>
      </c>
      <c r="G69" s="208">
        <f>(F69+18.5)</f>
        <v/>
      </c>
      <c r="H69" s="214" t="n">
        <v>38.92</v>
      </c>
      <c r="I69" s="210">
        <f>H69+18.5</f>
        <v/>
      </c>
      <c r="J69" s="211" t="n"/>
      <c r="K69" s="211" t="n"/>
    </row>
    <row r="70" ht="16.5" customHeight="1" thickBot="1">
      <c r="D70" s="216" t="n"/>
      <c r="E70" s="217" t="n"/>
    </row>
    <row r="71" ht="32.25" customHeight="1" thickBot="1">
      <c r="B71" s="27" t="inlineStr">
        <is>
          <t>APS (Sell)</t>
        </is>
      </c>
      <c r="C71" s="93" t="inlineStr">
        <is>
          <t>Regular</t>
        </is>
      </c>
      <c r="D71" s="93" t="inlineStr">
        <is>
          <t>Regular W/truck</t>
        </is>
      </c>
      <c r="E71" s="199" t="n"/>
      <c r="F71" s="82" t="inlineStr">
        <is>
          <t>Double Time</t>
        </is>
      </c>
      <c r="G71" s="82" t="inlineStr">
        <is>
          <t>Double Time W/truck</t>
        </is>
      </c>
      <c r="H71" s="83" t="inlineStr">
        <is>
          <t>Shift 20%</t>
        </is>
      </c>
      <c r="I71" s="83" t="inlineStr">
        <is>
          <t>Shift 20% W/truck</t>
        </is>
      </c>
      <c r="K71" s="33" t="inlineStr">
        <is>
          <t>Margin</t>
        </is>
      </c>
    </row>
    <row r="72">
      <c r="B72" s="77" t="inlineStr">
        <is>
          <t xml:space="preserve">FOREMAN                                          </t>
        </is>
      </c>
      <c r="C72" s="218">
        <f>C62/$K$72</f>
        <v/>
      </c>
      <c r="D72" s="219">
        <f>D62/$K$72</f>
        <v/>
      </c>
      <c r="E72" s="220" t="n"/>
      <c r="F72" s="218">
        <f>F62/$K$72</f>
        <v/>
      </c>
      <c r="G72" s="218">
        <f>G62/$K$72</f>
        <v/>
      </c>
      <c r="H72" s="218">
        <f>H62/$K$72</f>
        <v/>
      </c>
      <c r="I72" s="218">
        <f>I62/$K$72</f>
        <v/>
      </c>
      <c r="K72" s="5" t="n">
        <v>0.8</v>
      </c>
    </row>
    <row r="73">
      <c r="B73" s="77" t="inlineStr">
        <is>
          <t xml:space="preserve">JOURNEYMAN                                 </t>
        </is>
      </c>
      <c r="C73" s="218">
        <f>C63/$K$72</f>
        <v/>
      </c>
      <c r="D73" s="212">
        <f>D63/$K$72</f>
        <v/>
      </c>
      <c r="E73" s="201" t="n"/>
      <c r="F73" s="218">
        <f>F63/$K$72</f>
        <v/>
      </c>
      <c r="G73" s="218">
        <f>G63/$K$72</f>
        <v/>
      </c>
      <c r="H73" s="218">
        <f>H63/$K$72</f>
        <v/>
      </c>
      <c r="I73" s="218">
        <f>I63/$K$72</f>
        <v/>
      </c>
    </row>
    <row r="74">
      <c r="B74" s="77" t="inlineStr">
        <is>
          <t xml:space="preserve">APPRENTICE #5                                </t>
        </is>
      </c>
      <c r="C74" s="218">
        <f>C64/$K$72</f>
        <v/>
      </c>
      <c r="D74" s="212">
        <f>D64/$K$72</f>
        <v/>
      </c>
      <c r="E74" s="201" t="n"/>
      <c r="F74" s="218">
        <f>F64/$K$72</f>
        <v/>
      </c>
      <c r="G74" s="218">
        <f>G64/$K$72</f>
        <v/>
      </c>
      <c r="H74" s="218">
        <f>H64/$K$72</f>
        <v/>
      </c>
      <c r="I74" s="218">
        <f>I64/$K$72</f>
        <v/>
      </c>
    </row>
    <row r="75">
      <c r="B75" s="77" t="inlineStr">
        <is>
          <t xml:space="preserve">APPRENTICE #4                                </t>
        </is>
      </c>
      <c r="C75" s="218">
        <f>C65/$K$72</f>
        <v/>
      </c>
      <c r="D75" s="212">
        <f>D65/$K$72</f>
        <v/>
      </c>
      <c r="E75" s="201" t="n"/>
      <c r="F75" s="218">
        <f>F65/$K$72</f>
        <v/>
      </c>
      <c r="G75" s="218">
        <f>G65/$K$72</f>
        <v/>
      </c>
      <c r="H75" s="218">
        <f>H65/$K$72</f>
        <v/>
      </c>
      <c r="I75" s="218">
        <f>I65/$K$72</f>
        <v/>
      </c>
    </row>
    <row r="76">
      <c r="B76" s="77" t="inlineStr">
        <is>
          <t xml:space="preserve">APPRENTICE #3                              </t>
        </is>
      </c>
      <c r="C76" s="218">
        <f>C66/$K$72</f>
        <v/>
      </c>
      <c r="D76" s="212">
        <f>D66/$K$72</f>
        <v/>
      </c>
      <c r="E76" s="201" t="n"/>
      <c r="F76" s="218">
        <f>F66/$K$72</f>
        <v/>
      </c>
      <c r="G76" s="218">
        <f>G66/$K$72</f>
        <v/>
      </c>
      <c r="H76" s="218">
        <f>H66/$K$72</f>
        <v/>
      </c>
      <c r="I76" s="218">
        <f>I66/$K$72</f>
        <v/>
      </c>
    </row>
    <row r="77">
      <c r="B77" s="77" t="inlineStr">
        <is>
          <t xml:space="preserve">APPRENTICE #2                                 </t>
        </is>
      </c>
      <c r="C77" s="218">
        <f>C67/$K$72</f>
        <v/>
      </c>
      <c r="D77" s="212">
        <f>D67/$K$72</f>
        <v/>
      </c>
      <c r="E77" s="201" t="n"/>
      <c r="F77" s="218">
        <f>F67/$K$72</f>
        <v/>
      </c>
      <c r="G77" s="218">
        <f>G67/$K$72</f>
        <v/>
      </c>
      <c r="H77" s="218">
        <f>H67/$K$72</f>
        <v/>
      </c>
      <c r="I77" s="218">
        <f>I67/$K$72</f>
        <v/>
      </c>
    </row>
    <row r="78">
      <c r="B78" s="77" t="inlineStr">
        <is>
          <t xml:space="preserve">APPRENTICE #1                                 </t>
        </is>
      </c>
      <c r="C78" s="218">
        <f>C68/$K$72</f>
        <v/>
      </c>
      <c r="D78" s="212">
        <f>D68/$K$72</f>
        <v/>
      </c>
      <c r="E78" s="201" t="n"/>
      <c r="F78" s="218">
        <f>F68/$K$72</f>
        <v/>
      </c>
      <c r="G78" s="218">
        <f>G68/$K$72</f>
        <v/>
      </c>
      <c r="H78" s="218">
        <f>H68/$K$72</f>
        <v/>
      </c>
      <c r="I78" s="218">
        <f>I68/$K$72</f>
        <v/>
      </c>
    </row>
    <row r="79">
      <c r="B79" s="77" t="inlineStr">
        <is>
          <t>pre apprentice</t>
        </is>
      </c>
      <c r="C79" s="218">
        <f>C69/$K$72</f>
        <v/>
      </c>
      <c r="D79" s="212">
        <f>D69/$K$72</f>
        <v/>
      </c>
      <c r="E79" s="201" t="n"/>
      <c r="F79" s="218">
        <f>F69/$K$72</f>
        <v/>
      </c>
      <c r="G79" s="218">
        <f>G69/$K$72</f>
        <v/>
      </c>
      <c r="H79" s="218">
        <f>H69/$K$72</f>
        <v/>
      </c>
      <c r="I79" s="218">
        <f>I69/$K$72</f>
        <v/>
      </c>
    </row>
    <row r="80">
      <c r="D80" s="221" t="n"/>
    </row>
    <row r="81">
      <c r="D81" s="221" t="n"/>
    </row>
    <row r="82">
      <c r="B82" s="27" t="inlineStr">
        <is>
          <t>Bonding</t>
        </is>
      </c>
      <c r="C82" s="27" t="inlineStr">
        <is>
          <t>rate/Moths</t>
        </is>
      </c>
    </row>
    <row r="83">
      <c r="B83" s="27" t="inlineStr">
        <is>
          <t>First $2.5M</t>
        </is>
      </c>
      <c r="C83" s="27" t="n">
        <v>8.699999999999999</v>
      </c>
      <c r="G83" s="221" t="n">
        <v>2500000</v>
      </c>
      <c r="I83" s="211">
        <f>G83/1000*C83</f>
        <v/>
      </c>
    </row>
    <row r="84">
      <c r="B84" s="27" t="inlineStr">
        <is>
          <t>Second $2.5M</t>
        </is>
      </c>
      <c r="C84" s="27" t="n">
        <v>7.9</v>
      </c>
      <c r="G84" s="221" t="n">
        <v>2500000</v>
      </c>
      <c r="I84" s="211">
        <f>G84/1000*C84</f>
        <v/>
      </c>
    </row>
    <row r="85">
      <c r="B85" s="27" t="inlineStr">
        <is>
          <t>Third $2.5M</t>
        </is>
      </c>
      <c r="C85" s="27" t="n">
        <v>6.95</v>
      </c>
      <c r="G85" s="221" t="n">
        <v>2500000</v>
      </c>
      <c r="I85" s="211">
        <f>G85/1000*C85</f>
        <v/>
      </c>
    </row>
    <row r="86">
      <c r="B86" s="27" t="inlineStr">
        <is>
          <t>Subtotal</t>
        </is>
      </c>
      <c r="I86" s="211">
        <f>I83+I84+I85</f>
        <v/>
      </c>
    </row>
    <row r="87">
      <c r="B87" s="27" t="inlineStr">
        <is>
          <t>after 24 months</t>
        </is>
      </c>
      <c r="C87" s="27" t="n">
        <v>12</v>
      </c>
      <c r="I87" s="211">
        <f>I86*C87*0.01</f>
        <v/>
      </c>
    </row>
    <row r="88">
      <c r="B88" s="27" t="inlineStr">
        <is>
          <t>Grand Total for Bond</t>
        </is>
      </c>
      <c r="I88" s="211">
        <f>I86+I87</f>
        <v/>
      </c>
    </row>
    <row r="89">
      <c r="B89" s="27" t="inlineStr">
        <is>
          <t>Sell Price</t>
        </is>
      </c>
      <c r="I89" s="211">
        <f>I88/0.9</f>
        <v/>
      </c>
    </row>
    <row r="96">
      <c r="F96" s="21" t="n"/>
      <c r="G96" s="21" t="n"/>
    </row>
    <row r="97">
      <c r="F97" s="21" t="n"/>
      <c r="G97" s="77" t="n"/>
    </row>
    <row r="98">
      <c r="F98" s="21" t="n"/>
      <c r="G98" s="77" t="n"/>
    </row>
    <row r="99">
      <c r="F99" s="21" t="n"/>
      <c r="G99" s="77" t="n"/>
    </row>
    <row r="100">
      <c r="F100" s="21" t="n"/>
      <c r="G100" s="77" t="n"/>
    </row>
    <row r="101">
      <c r="F101" s="21" t="n"/>
      <c r="G101" s="77" t="n"/>
    </row>
  </sheetData>
  <mergeCells count="125">
    <mergeCell ref="K33:L33"/>
    <mergeCell ref="A55:O55"/>
    <mergeCell ref="K35:L35"/>
    <mergeCell ref="D77:E77"/>
    <mergeCell ref="A28:P28"/>
    <mergeCell ref="M35:N35"/>
    <mergeCell ref="C41:D41"/>
    <mergeCell ref="D61:E61"/>
    <mergeCell ref="A48:P48"/>
    <mergeCell ref="D70:E70"/>
    <mergeCell ref="I4:N4"/>
    <mergeCell ref="E34:F34"/>
    <mergeCell ref="G34:H34"/>
    <mergeCell ref="A26:E26"/>
    <mergeCell ref="D72:E72"/>
    <mergeCell ref="I26:K27"/>
    <mergeCell ref="D78:E78"/>
    <mergeCell ref="C36:D36"/>
    <mergeCell ref="M36:N36"/>
    <mergeCell ref="M33:N33"/>
    <mergeCell ref="E36:F36"/>
    <mergeCell ref="D62:E62"/>
    <mergeCell ref="D71:E71"/>
    <mergeCell ref="A46:P46"/>
    <mergeCell ref="A51:O51"/>
    <mergeCell ref="G85:H85"/>
    <mergeCell ref="D64:E64"/>
    <mergeCell ref="D73:E73"/>
    <mergeCell ref="G84:H84"/>
    <mergeCell ref="I30:J30"/>
    <mergeCell ref="K30:L30"/>
    <mergeCell ref="C30:D30"/>
    <mergeCell ref="O4:O5"/>
    <mergeCell ref="A52:P52"/>
    <mergeCell ref="I14:K14"/>
    <mergeCell ref="I32:J32"/>
    <mergeCell ref="A42:O42"/>
    <mergeCell ref="D76:E76"/>
    <mergeCell ref="K32:L32"/>
    <mergeCell ref="I41:J41"/>
    <mergeCell ref="A47:O47"/>
    <mergeCell ref="K41:L41"/>
    <mergeCell ref="C40:D40"/>
    <mergeCell ref="E40:F40"/>
    <mergeCell ref="D66:E66"/>
    <mergeCell ref="D75:E75"/>
    <mergeCell ref="G33:H33"/>
    <mergeCell ref="I33:J33"/>
    <mergeCell ref="A14:E14"/>
    <mergeCell ref="M41:N41"/>
    <mergeCell ref="G26:G27"/>
    <mergeCell ref="G35:H35"/>
    <mergeCell ref="I35:J35"/>
    <mergeCell ref="C4:H4"/>
    <mergeCell ref="D79:E79"/>
    <mergeCell ref="C34:D34"/>
    <mergeCell ref="A54:O54"/>
    <mergeCell ref="M34:N34"/>
    <mergeCell ref="D63:E63"/>
    <mergeCell ref="A1:P2"/>
    <mergeCell ref="D81:E81"/>
    <mergeCell ref="A38:P38"/>
    <mergeCell ref="M39:N39"/>
    <mergeCell ref="E39:F39"/>
    <mergeCell ref="D65:E65"/>
    <mergeCell ref="G39:H39"/>
    <mergeCell ref="K29:L29"/>
    <mergeCell ref="C29:D29"/>
    <mergeCell ref="E29:F29"/>
    <mergeCell ref="K31:L31"/>
    <mergeCell ref="C31:D31"/>
    <mergeCell ref="M31:N31"/>
    <mergeCell ref="K40:L40"/>
    <mergeCell ref="E31:F31"/>
    <mergeCell ref="M40:N40"/>
    <mergeCell ref="A53:O53"/>
    <mergeCell ref="A4:A5"/>
    <mergeCell ref="A6:P6"/>
    <mergeCell ref="A16:P16"/>
    <mergeCell ref="M26:M27"/>
    <mergeCell ref="C32:D32"/>
    <mergeCell ref="B4:B5"/>
    <mergeCell ref="M29:N29"/>
    <mergeCell ref="E32:F32"/>
    <mergeCell ref="G32:H32"/>
    <mergeCell ref="E41:F41"/>
    <mergeCell ref="D67:E67"/>
    <mergeCell ref="G41:H41"/>
    <mergeCell ref="A45:O45"/>
    <mergeCell ref="P4:P5"/>
    <mergeCell ref="A50:P50"/>
    <mergeCell ref="A3:P3"/>
    <mergeCell ref="D69:E69"/>
    <mergeCell ref="I34:J34"/>
    <mergeCell ref="K34:L34"/>
    <mergeCell ref="C33:D33"/>
    <mergeCell ref="E33:F33"/>
    <mergeCell ref="A37:O37"/>
    <mergeCell ref="G36:H36"/>
    <mergeCell ref="I36:J36"/>
    <mergeCell ref="D80:E80"/>
    <mergeCell ref="K36:L36"/>
    <mergeCell ref="C35:D35"/>
    <mergeCell ref="E35:F35"/>
    <mergeCell ref="O26:O27"/>
    <mergeCell ref="A15:P15"/>
    <mergeCell ref="A27:E27"/>
    <mergeCell ref="G83:H83"/>
    <mergeCell ref="M30:N30"/>
    <mergeCell ref="E30:F30"/>
    <mergeCell ref="G30:H30"/>
    <mergeCell ref="I39:J39"/>
    <mergeCell ref="K39:L39"/>
    <mergeCell ref="C39:D39"/>
    <mergeCell ref="G29:H29"/>
    <mergeCell ref="I29:J29"/>
    <mergeCell ref="D74:E74"/>
    <mergeCell ref="D68:E68"/>
    <mergeCell ref="M32:N32"/>
    <mergeCell ref="A49:O49"/>
    <mergeCell ref="A43:P44"/>
    <mergeCell ref="G31:H31"/>
    <mergeCell ref="I31:J31"/>
    <mergeCell ref="G40:H40"/>
    <mergeCell ref="I40:J40"/>
  </mergeCells>
  <dataValidations disablePrompts="1" count="1">
    <dataValidation sqref="K72 O7:O13 O17:O25 O30:O36 O40:O41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portrait" paperSize="17" scale="72" fitToHeight="0" horizontalDpi="300" verticalDpi="300"/>
  <colBreaks count="1" manualBreakCount="1">
    <brk id="16" min="0" max="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3"/>
  <sheetViews>
    <sheetView zoomScale="80" zoomScaleNormal="80" workbookViewId="0">
      <selection activeCell="A1" sqref="A1:P2"/>
    </sheetView>
  </sheetViews>
  <sheetFormatPr baseColWidth="8" defaultColWidth="9.140625" defaultRowHeight="15.75"/>
  <cols>
    <col width="9.140625" customWidth="1" style="27" min="1" max="1"/>
    <col width="44.85546875" customWidth="1" style="27" min="2" max="2"/>
    <col width="14.140625" customWidth="1" style="27" min="3" max="3"/>
    <col width="7.28515625" customWidth="1" style="27" min="4" max="4"/>
    <col width="9.42578125" customWidth="1" style="27" min="5" max="5"/>
    <col width="15.7109375" customWidth="1" style="27" min="6" max="6"/>
    <col width="19.140625" customWidth="1" style="27" min="7" max="7"/>
    <col width="15.28515625" customWidth="1" style="27" min="8" max="14"/>
    <col width="14.85546875" customWidth="1" style="27" min="15" max="15"/>
    <col width="22" customWidth="1" style="27" min="16" max="16"/>
    <col width="9.140625" customWidth="1" style="27" min="17" max="17"/>
    <col width="12.42578125" bestFit="1" customWidth="1" style="27" min="18" max="18"/>
    <col width="11.42578125" customWidth="1" style="27" min="19" max="19"/>
    <col width="15.5703125" bestFit="1" customWidth="1" style="27" min="20" max="20"/>
    <col width="12.85546875" customWidth="1" style="27" min="21" max="21"/>
    <col width="13.85546875" customWidth="1" style="27" min="22" max="22"/>
    <col width="11.85546875" customWidth="1" style="27" min="23" max="23"/>
    <col width="9.140625" customWidth="1" style="27" min="24" max="16384"/>
  </cols>
  <sheetData>
    <row r="1" ht="23.25" customHeight="1">
      <c r="A1" s="192">
        <f t="array" ref="A1">MID(CELL("filename",C1),FIND("]",CELL("filename",C1))+1,255)</f>
        <v/>
      </c>
      <c r="B1" s="193" t="n"/>
      <c r="C1" s="193" t="n"/>
      <c r="D1" s="193" t="n"/>
      <c r="E1" s="193" t="n"/>
      <c r="F1" s="193" t="n"/>
      <c r="G1" s="193" t="n"/>
      <c r="H1" s="193" t="n"/>
      <c r="I1" s="193" t="n"/>
      <c r="J1" s="193" t="n"/>
      <c r="K1" s="193" t="n"/>
      <c r="L1" s="193" t="n"/>
      <c r="M1" s="193" t="n"/>
      <c r="N1" s="193" t="n"/>
      <c r="O1" s="193" t="n"/>
      <c r="P1" s="194" t="n"/>
      <c r="R1" s="27">
        <f t="array" ref="R1">MID(CELL("filename",C1),FIND("]",CELL("filename",C1))+1,255)</f>
        <v/>
      </c>
    </row>
    <row r="2" ht="19.5" customHeight="1" thickBot="1">
      <c r="A2" s="195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7" t="n"/>
    </row>
    <row r="3" ht="19.5" customHeight="1" thickBot="1">
      <c r="A3" s="150" t="inlineStr">
        <is>
          <t>AINSWORTH LABOUR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9" t="n"/>
    </row>
    <row r="4" ht="19.5" customHeight="1" thickBot="1">
      <c r="A4" s="35" t="inlineStr">
        <is>
          <t>Item</t>
        </is>
      </c>
      <c r="B4" s="35" t="inlineStr">
        <is>
          <t>Task</t>
        </is>
      </c>
      <c r="C4" s="35" t="inlineStr">
        <is>
          <t>Regular Labour Rates</t>
        </is>
      </c>
      <c r="D4" s="198" t="n"/>
      <c r="E4" s="198" t="n"/>
      <c r="F4" s="198" t="n"/>
      <c r="G4" s="198" t="n"/>
      <c r="H4" s="199" t="n"/>
      <c r="I4" s="37" t="inlineStr">
        <is>
          <t>Premium Labour Rates</t>
        </is>
      </c>
      <c r="J4" s="198" t="n"/>
      <c r="K4" s="198" t="n"/>
      <c r="L4" s="198" t="n"/>
      <c r="M4" s="198" t="n"/>
      <c r="N4" s="199" t="n"/>
      <c r="O4" s="35" t="inlineStr">
        <is>
          <t>Margin</t>
        </is>
      </c>
      <c r="P4" s="222" t="inlineStr">
        <is>
          <t>Subtotal 3 - Sell Rate</t>
        </is>
      </c>
    </row>
    <row r="5" ht="57" customHeight="1" thickBot="1">
      <c r="A5" s="223" t="n"/>
      <c r="B5" s="223" t="n"/>
      <c r="C5" s="35" t="inlineStr">
        <is>
          <t># of techs</t>
        </is>
      </c>
      <c r="D5" s="35" t="inlineStr">
        <is>
          <t>Days/Units</t>
        </is>
      </c>
      <c r="E5" s="35" t="inlineStr">
        <is>
          <t>Regular Hours</t>
        </is>
      </c>
      <c r="F5" s="35" t="inlineStr">
        <is>
          <t>Total Regular Hours</t>
        </is>
      </c>
      <c r="G5" s="36" t="inlineStr">
        <is>
          <t>Regular Labour Rate</t>
        </is>
      </c>
      <c r="H5" s="36" t="inlineStr">
        <is>
          <t>Subtotal 1</t>
        </is>
      </c>
      <c r="I5" s="37" t="inlineStr">
        <is>
          <t># of techs</t>
        </is>
      </c>
      <c r="J5" s="37" t="inlineStr">
        <is>
          <t>Days/Units</t>
        </is>
      </c>
      <c r="K5" s="37" t="inlineStr">
        <is>
          <t>O/T Hours</t>
        </is>
      </c>
      <c r="L5" s="37" t="inlineStr">
        <is>
          <t>Total O/T Hours</t>
        </is>
      </c>
      <c r="M5" s="38" t="inlineStr">
        <is>
          <t>O/T Labour Rate</t>
        </is>
      </c>
      <c r="N5" s="37" t="inlineStr">
        <is>
          <t>Subtotal 2</t>
        </is>
      </c>
      <c r="O5" s="223" t="n"/>
      <c r="P5" s="223" t="n"/>
    </row>
    <row r="6" ht="34.5" customHeight="1" thickBot="1">
      <c r="A6" s="150" t="inlineStr">
        <is>
          <t>Project Management</t>
        </is>
      </c>
      <c r="B6" s="198" t="n"/>
      <c r="C6" s="198" t="n"/>
      <c r="D6" s="198" t="n"/>
      <c r="E6" s="198" t="n"/>
      <c r="F6" s="198" t="n"/>
      <c r="G6" s="198" t="n"/>
      <c r="H6" s="198" t="n"/>
      <c r="I6" s="198" t="n"/>
      <c r="J6" s="198" t="n"/>
      <c r="K6" s="198" t="n"/>
      <c r="L6" s="198" t="n"/>
      <c r="M6" s="198" t="n"/>
      <c r="N6" s="198" t="n"/>
      <c r="O6" s="198" t="n"/>
      <c r="P6" s="199" t="n"/>
      <c r="T6" s="211">
        <f>(P22+P33+P44)*0.05</f>
        <v/>
      </c>
    </row>
    <row r="7" ht="16.5" customHeight="1" thickTop="1">
      <c r="A7" s="156" t="n">
        <v>1</v>
      </c>
      <c r="B7" s="24" t="inlineStr">
        <is>
          <t>Engineering/Meetings</t>
        </is>
      </c>
      <c r="C7" s="13" t="n">
        <v>0</v>
      </c>
      <c r="D7" s="13" t="n">
        <v>0</v>
      </c>
      <c r="E7" s="13" t="n"/>
      <c r="F7" s="13">
        <f>C7*D7*E7</f>
        <v/>
      </c>
      <c r="G7" s="39" t="n">
        <v>90</v>
      </c>
      <c r="H7" s="40">
        <f>F7*G7</f>
        <v/>
      </c>
      <c r="I7" s="41" t="n"/>
      <c r="J7" s="42" t="n"/>
      <c r="K7" s="42" t="n"/>
      <c r="L7" s="42">
        <f>I7*J7*K7</f>
        <v/>
      </c>
      <c r="M7" s="43" t="n">
        <v>150</v>
      </c>
      <c r="N7" s="44">
        <f>L7*M7</f>
        <v/>
      </c>
      <c r="O7" s="5" t="n">
        <v>0.85</v>
      </c>
      <c r="P7" s="45">
        <f>H7/O7+N7/O7</f>
        <v/>
      </c>
      <c r="R7" s="29" t="n"/>
    </row>
    <row r="8">
      <c r="A8" s="156" t="n">
        <v>2</v>
      </c>
      <c r="B8" s="4" t="inlineStr">
        <is>
          <t>Project Management</t>
        </is>
      </c>
      <c r="C8" s="13" t="n">
        <v>0.05</v>
      </c>
      <c r="D8" s="13" t="n">
        <v>1</v>
      </c>
      <c r="E8" s="13" t="n">
        <v>1</v>
      </c>
      <c r="F8" s="13">
        <f>C8*D8*E8</f>
        <v/>
      </c>
      <c r="G8" s="39">
        <f>(P22+P33+P44)</f>
        <v/>
      </c>
      <c r="H8" s="46">
        <f>F8*G8</f>
        <v/>
      </c>
      <c r="I8" s="47" t="n"/>
      <c r="J8" s="48" t="n"/>
      <c r="K8" s="48" t="n"/>
      <c r="L8" s="48">
        <f>I8*J8*K8</f>
        <v/>
      </c>
      <c r="M8" s="39" t="n">
        <v>150</v>
      </c>
      <c r="N8" s="46">
        <f>L8*M8</f>
        <v/>
      </c>
      <c r="O8" s="5" t="n">
        <v>0.85</v>
      </c>
      <c r="P8" s="49">
        <f>H8/O8+N8/O8</f>
        <v/>
      </c>
    </row>
    <row r="9">
      <c r="A9" s="156" t="n">
        <v>3</v>
      </c>
      <c r="B9" s="4" t="inlineStr">
        <is>
          <t>ESA Submissions</t>
        </is>
      </c>
      <c r="C9" s="13" t="n"/>
      <c r="D9" s="13" t="n"/>
      <c r="E9" s="13" t="n"/>
      <c r="F9" s="13">
        <f>C9*D9*E9</f>
        <v/>
      </c>
      <c r="G9" s="39" t="n">
        <v>2000</v>
      </c>
      <c r="H9" s="46">
        <f>F9*G9</f>
        <v/>
      </c>
      <c r="I9" s="47" t="n"/>
      <c r="J9" s="48" t="n"/>
      <c r="K9" s="48" t="n"/>
      <c r="L9" s="48">
        <f>I9*J9*K9</f>
        <v/>
      </c>
      <c r="M9" s="39" t="n">
        <v>0</v>
      </c>
      <c r="N9" s="46">
        <f>L9*M9</f>
        <v/>
      </c>
      <c r="O9" s="5" t="n">
        <v>0.85</v>
      </c>
      <c r="P9" s="50">
        <f>H9/O9+N9/O9</f>
        <v/>
      </c>
    </row>
    <row r="10">
      <c r="A10" s="156" t="n">
        <v>4</v>
      </c>
      <c r="B10" s="4" t="inlineStr">
        <is>
          <t>Misc. Subcontractors</t>
        </is>
      </c>
      <c r="C10" s="13" t="n">
        <v>0.05</v>
      </c>
      <c r="D10" s="13" t="n">
        <v>1</v>
      </c>
      <c r="E10" s="13" t="n">
        <v>1</v>
      </c>
      <c r="F10" s="13">
        <f>C10*D10*E10</f>
        <v/>
      </c>
      <c r="G10" s="39">
        <f>P33</f>
        <v/>
      </c>
      <c r="H10" s="46">
        <f>F10*G10</f>
        <v/>
      </c>
      <c r="I10" s="47" t="n"/>
      <c r="J10" s="48" t="n"/>
      <c r="K10" s="48" t="n"/>
      <c r="L10" s="48">
        <f>I10*J10*K10</f>
        <v/>
      </c>
      <c r="M10" s="39" t="n">
        <v>150</v>
      </c>
      <c r="N10" s="46">
        <f>L10*M10</f>
        <v/>
      </c>
      <c r="O10" s="5" t="n">
        <v>0.85</v>
      </c>
      <c r="P10" s="50">
        <f>H10/O10+N10/O10</f>
        <v/>
      </c>
    </row>
    <row r="11">
      <c r="A11" s="156" t="n">
        <v>5</v>
      </c>
      <c r="B11" s="4" t="inlineStr">
        <is>
          <t>Misc. Materials</t>
        </is>
      </c>
      <c r="C11" s="13" t="n">
        <v>0.05</v>
      </c>
      <c r="D11" s="13" t="n">
        <v>1</v>
      </c>
      <c r="E11" s="13" t="n">
        <v>1</v>
      </c>
      <c r="F11" s="13">
        <f>C11*D11*E11</f>
        <v/>
      </c>
      <c r="G11" s="39">
        <f>P44</f>
        <v/>
      </c>
      <c r="H11" s="46">
        <f>F11*G11</f>
        <v/>
      </c>
      <c r="I11" s="47" t="n"/>
      <c r="J11" s="48" t="n"/>
      <c r="K11" s="48" t="n"/>
      <c r="L11" s="48">
        <f>I11*J11*K11</f>
        <v/>
      </c>
      <c r="M11" s="39" t="n">
        <v>150</v>
      </c>
      <c r="N11" s="46">
        <f>L11*M11</f>
        <v/>
      </c>
      <c r="O11" s="5" t="n">
        <v>0.85</v>
      </c>
      <c r="P11" s="50">
        <f>H11/O11+N11/O11</f>
        <v/>
      </c>
    </row>
    <row r="12">
      <c r="A12" s="156" t="n">
        <v>6</v>
      </c>
      <c r="B12" s="4" t="inlineStr">
        <is>
          <t>Forman - site supervision and civil</t>
        </is>
      </c>
      <c r="C12" s="13" t="n"/>
      <c r="D12" s="13" t="n"/>
      <c r="E12" s="13" t="n"/>
      <c r="F12" s="13">
        <f>C12*D12*E12</f>
        <v/>
      </c>
      <c r="G12" s="39" t="n">
        <v>92</v>
      </c>
      <c r="H12" s="46">
        <f>F12*G12</f>
        <v/>
      </c>
      <c r="I12" s="47" t="n"/>
      <c r="J12" s="48" t="n"/>
      <c r="K12" s="48" t="n"/>
      <c r="L12" s="48">
        <f>I12*J12*K12</f>
        <v/>
      </c>
      <c r="M12" s="39" t="n">
        <v>150</v>
      </c>
      <c r="N12" s="46">
        <f>L12*M12</f>
        <v/>
      </c>
      <c r="O12" s="5" t="n">
        <v>0.85</v>
      </c>
      <c r="P12" s="50">
        <f>H12/O12+N12/O12</f>
        <v/>
      </c>
    </row>
    <row r="13">
      <c r="A13" s="156" t="n">
        <v>7</v>
      </c>
      <c r="B13" s="4" t="inlineStr">
        <is>
          <t>Lodging</t>
        </is>
      </c>
      <c r="C13" s="13" t="n">
        <v>1</v>
      </c>
      <c r="D13" s="13" t="n">
        <v>1</v>
      </c>
      <c r="E13" s="13" t="n">
        <v>1</v>
      </c>
      <c r="F13" s="13">
        <f>C13*D13*E13</f>
        <v/>
      </c>
      <c r="G13" s="39" t="n">
        <v>0</v>
      </c>
      <c r="H13" s="46">
        <f>F13*G13</f>
        <v/>
      </c>
      <c r="I13" s="47" t="n"/>
      <c r="J13" s="48" t="n"/>
      <c r="K13" s="48" t="n"/>
      <c r="L13" s="48">
        <f>I13*J13*K13</f>
        <v/>
      </c>
      <c r="M13" s="39" t="n">
        <v>175</v>
      </c>
      <c r="N13" s="46">
        <f>L13*M13</f>
        <v/>
      </c>
      <c r="O13" s="5" t="n">
        <v>0.85</v>
      </c>
      <c r="P13" s="50">
        <f>H13/O13+N13/O13</f>
        <v/>
      </c>
    </row>
    <row r="14" ht="15.75" customFormat="1" customHeight="1" s="21" thickBot="1">
      <c r="A14" s="151" t="inlineStr">
        <is>
          <t>Total Management</t>
        </is>
      </c>
      <c r="B14" s="200" t="n"/>
      <c r="C14" s="200" t="n"/>
      <c r="D14" s="200" t="n"/>
      <c r="E14" s="201" t="n"/>
      <c r="F14" s="8">
        <f>SUM(F7:F13)</f>
        <v/>
      </c>
      <c r="G14" s="8" t="n"/>
      <c r="H14" s="51">
        <f>SUM(H7:H13)</f>
        <v/>
      </c>
      <c r="I14" s="224" t="n"/>
      <c r="J14" s="225" t="n"/>
      <c r="K14" s="226" t="n"/>
      <c r="L14" s="52">
        <f>SUM(L7:L13)</f>
        <v/>
      </c>
      <c r="M14" s="53" t="n"/>
      <c r="N14" s="54">
        <f>SUM(N7:N13)</f>
        <v/>
      </c>
      <c r="O14" s="55" t="n"/>
      <c r="P14" s="56">
        <f>SUM(P7:P13)</f>
        <v/>
      </c>
    </row>
    <row r="15" ht="16.5" customHeight="1" thickTop="1">
      <c r="A15" s="155" t="n"/>
      <c r="B15" s="200" t="n"/>
      <c r="C15" s="200" t="n"/>
      <c r="D15" s="200" t="n"/>
      <c r="E15" s="200" t="n"/>
      <c r="F15" s="200" t="n"/>
      <c r="G15" s="200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1" t="n"/>
    </row>
    <row r="16" ht="16.5" customHeight="1" thickBot="1">
      <c r="A16" s="151" t="inlineStr">
        <is>
          <t>Labour</t>
        </is>
      </c>
      <c r="B16" s="200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0" t="n"/>
      <c r="M16" s="200" t="n"/>
      <c r="N16" s="200" t="n"/>
      <c r="O16" s="200" t="n"/>
      <c r="P16" s="201" t="n"/>
    </row>
    <row r="17" ht="16.5" customHeight="1" thickTop="1">
      <c r="A17" s="155" t="n">
        <v>1</v>
      </c>
      <c r="B17" s="31" t="inlineStr">
        <is>
          <t>Mob/demob</t>
        </is>
      </c>
      <c r="C17" s="5" t="n"/>
      <c r="D17" s="5" t="n"/>
      <c r="E17" s="5" t="n"/>
      <c r="F17" s="5">
        <f>C17*D17*E17</f>
        <v/>
      </c>
      <c r="G17" s="57" t="n">
        <v>108</v>
      </c>
      <c r="H17" s="58">
        <f>F17*G17</f>
        <v/>
      </c>
      <c r="I17" s="41" t="n"/>
      <c r="J17" s="42" t="n"/>
      <c r="K17" s="42" t="n"/>
      <c r="L17" s="42">
        <f>I17*J17*K17</f>
        <v/>
      </c>
      <c r="M17" s="43" t="n">
        <v>195</v>
      </c>
      <c r="N17" s="44">
        <f>L17*M17</f>
        <v/>
      </c>
      <c r="O17" s="5" t="n">
        <v>0.85</v>
      </c>
      <c r="P17" s="45">
        <f>H17/O17+N17/O17</f>
        <v/>
      </c>
    </row>
    <row r="18">
      <c r="A18" s="155" t="n">
        <v>2</v>
      </c>
      <c r="B18" s="31" t="inlineStr">
        <is>
          <t>install</t>
        </is>
      </c>
      <c r="C18" s="5" t="n"/>
      <c r="D18" s="5" t="n"/>
      <c r="E18" s="5" t="n"/>
      <c r="F18" s="5">
        <f>C18*D18*E18</f>
        <v/>
      </c>
      <c r="G18" s="57" t="n">
        <v>108</v>
      </c>
      <c r="H18" s="58">
        <f>F18*G18</f>
        <v/>
      </c>
      <c r="I18" s="59" t="n"/>
      <c r="J18" s="60" t="n"/>
      <c r="K18" s="60" t="n"/>
      <c r="L18" s="60">
        <f>I18*J18*K18</f>
        <v/>
      </c>
      <c r="M18" s="57" t="n">
        <v>195</v>
      </c>
      <c r="N18" s="61">
        <f>L18*M18</f>
        <v/>
      </c>
      <c r="O18" s="5" t="n">
        <v>0.85</v>
      </c>
      <c r="P18" s="49">
        <f>H18/O18+N18/O18</f>
        <v/>
      </c>
      <c r="U18" s="62" t="n"/>
    </row>
    <row r="19">
      <c r="A19" s="155" t="n">
        <v>3</v>
      </c>
      <c r="B19" s="18" t="inlineStr">
        <is>
          <t>assist</t>
        </is>
      </c>
      <c r="C19" s="5" t="n"/>
      <c r="D19" s="5" t="n"/>
      <c r="E19" s="5" t="n"/>
      <c r="F19" s="5">
        <f>C19*D19*E19</f>
        <v/>
      </c>
      <c r="G19" s="57" t="n">
        <v>108</v>
      </c>
      <c r="H19" s="58">
        <f>F19*G19</f>
        <v/>
      </c>
      <c r="I19" s="59" t="n"/>
      <c r="J19" s="60" t="n"/>
      <c r="K19" s="60" t="n"/>
      <c r="L19" s="60">
        <f>I19*J19*K19</f>
        <v/>
      </c>
      <c r="M19" s="57" t="n">
        <v>195</v>
      </c>
      <c r="N19" s="61">
        <f>L19*M19</f>
        <v/>
      </c>
      <c r="O19" s="5" t="n">
        <v>0.85</v>
      </c>
      <c r="P19" s="49">
        <f>H19/O19+N19/O19</f>
        <v/>
      </c>
      <c r="R19" s="211" t="n"/>
      <c r="U19" s="62" t="n"/>
    </row>
    <row r="20">
      <c r="A20" s="155" t="n">
        <v>4</v>
      </c>
      <c r="B20" s="18" t="n"/>
      <c r="C20" s="5" t="n"/>
      <c r="D20" s="5" t="n"/>
      <c r="E20" s="5" t="n"/>
      <c r="F20" s="5">
        <f>C20*D20*E20</f>
        <v/>
      </c>
      <c r="G20" s="57" t="n">
        <v>108</v>
      </c>
      <c r="H20" s="58">
        <f>F20*G20</f>
        <v/>
      </c>
      <c r="I20" s="59" t="n"/>
      <c r="J20" s="60" t="n"/>
      <c r="K20" s="60" t="n"/>
      <c r="L20" s="60">
        <f>I20*J20*K20</f>
        <v/>
      </c>
      <c r="M20" s="57" t="n">
        <v>195</v>
      </c>
      <c r="N20" s="61">
        <f>L20*M20</f>
        <v/>
      </c>
      <c r="O20" s="5" t="n">
        <v>0.85</v>
      </c>
      <c r="P20" s="49">
        <f>H20/O20+N20/O20</f>
        <v/>
      </c>
      <c r="U20" s="62" t="n"/>
    </row>
    <row r="21">
      <c r="A21" s="155" t="n">
        <v>9</v>
      </c>
      <c r="B21" s="18" t="n"/>
      <c r="C21" s="5" t="n"/>
      <c r="D21" s="5" t="n"/>
      <c r="E21" s="5" t="n"/>
      <c r="F21" s="5">
        <f>C21*D21*E21</f>
        <v/>
      </c>
      <c r="G21" s="57" t="n">
        <v>108</v>
      </c>
      <c r="H21" s="58">
        <f>F21*G21</f>
        <v/>
      </c>
      <c r="I21" s="59" t="n"/>
      <c r="J21" s="60" t="n"/>
      <c r="K21" s="60" t="n"/>
      <c r="L21" s="60">
        <f>I21*J21*K21</f>
        <v/>
      </c>
      <c r="M21" s="57" t="n">
        <v>195</v>
      </c>
      <c r="N21" s="61">
        <f>L21*M21</f>
        <v/>
      </c>
      <c r="O21" s="5" t="n">
        <v>0.85</v>
      </c>
      <c r="P21" s="49">
        <f>H21/O21+N21/O21</f>
        <v/>
      </c>
    </row>
    <row r="22" ht="15.75" customHeight="1">
      <c r="A22" s="151" t="inlineStr">
        <is>
          <t>Sub Total Labour</t>
        </is>
      </c>
      <c r="B22" s="200" t="n"/>
      <c r="C22" s="200" t="n"/>
      <c r="D22" s="200" t="n"/>
      <c r="E22" s="201" t="n"/>
      <c r="F22" s="8">
        <f>SUM(F17:F21)</f>
        <v/>
      </c>
      <c r="G22" s="8" t="n"/>
      <c r="H22" s="64">
        <f>SUM(H17:H21)</f>
        <v/>
      </c>
      <c r="I22" s="227" t="n"/>
      <c r="J22" s="202" t="n"/>
      <c r="K22" s="203" t="n"/>
      <c r="L22" s="65">
        <f>SUM(L17:L21)</f>
        <v/>
      </c>
      <c r="M22" s="53" t="n"/>
      <c r="N22" s="66">
        <f>SUM(N17:N21)</f>
        <v/>
      </c>
      <c r="O22" s="228" t="n"/>
      <c r="P22" s="67">
        <f>SUM(P17:P21)</f>
        <v/>
      </c>
      <c r="S22" s="22" t="n"/>
      <c r="T22" s="22" t="n"/>
    </row>
    <row r="23" ht="15.75" customFormat="1" customHeight="1" s="21" thickBot="1">
      <c r="A23" s="151" t="inlineStr">
        <is>
          <t>Subtotal Labour</t>
        </is>
      </c>
      <c r="B23" s="200" t="n"/>
      <c r="C23" s="200" t="n"/>
      <c r="D23" s="200" t="n"/>
      <c r="E23" s="201" t="n"/>
      <c r="F23" s="8">
        <f>F14+F22</f>
        <v/>
      </c>
      <c r="G23" s="229" t="n"/>
      <c r="H23" s="64">
        <f>H14+H22</f>
        <v/>
      </c>
      <c r="I23" s="230" t="n"/>
      <c r="J23" s="231" t="n"/>
      <c r="K23" s="232" t="n"/>
      <c r="L23" s="52">
        <f>L14+L22</f>
        <v/>
      </c>
      <c r="M23" s="233" t="n"/>
      <c r="N23" s="68">
        <f>N14+N22</f>
        <v/>
      </c>
      <c r="O23" s="205" t="n"/>
      <c r="P23" s="56">
        <f>P14+P22</f>
        <v/>
      </c>
      <c r="S23" s="22" t="n"/>
      <c r="T23" s="22" t="n"/>
    </row>
    <row r="24" ht="34.5" customFormat="1" customHeight="1" s="21" thickBot="1" thickTop="1">
      <c r="A24" s="147" t="inlineStr">
        <is>
          <t>Subcontractors</t>
        </is>
      </c>
      <c r="B24" s="202" t="n"/>
      <c r="C24" s="202" t="n"/>
      <c r="D24" s="202" t="n"/>
      <c r="E24" s="202" t="n"/>
      <c r="F24" s="202" t="n"/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S24" s="22" t="n"/>
      <c r="T24" s="22" t="n"/>
      <c r="U24" s="22" t="n"/>
      <c r="V24" s="22" t="n"/>
      <c r="W24" s="22" t="n"/>
    </row>
    <row r="25" ht="19.5" customFormat="1" customHeight="1" s="21" thickBot="1">
      <c r="A25" s="69" t="inlineStr">
        <is>
          <t>Item</t>
        </is>
      </c>
      <c r="B25" s="69" t="inlineStr">
        <is>
          <t>Task</t>
        </is>
      </c>
      <c r="C25" s="35" t="inlineStr">
        <is>
          <t>Surcharge</t>
        </is>
      </c>
      <c r="D25" s="199" t="n"/>
      <c r="E25" s="35" t="inlineStr">
        <is>
          <t>Days/Units</t>
        </is>
      </c>
      <c r="F25" s="199" t="n"/>
      <c r="G25" s="36" t="inlineStr">
        <is>
          <t>Other</t>
        </is>
      </c>
      <c r="H25" s="199" t="n"/>
      <c r="I25" s="36" t="inlineStr">
        <is>
          <t>Total Surcharge</t>
        </is>
      </c>
      <c r="J25" s="199" t="n"/>
      <c r="K25" s="36" t="inlineStr">
        <is>
          <t>Unit Price</t>
        </is>
      </c>
      <c r="L25" s="199" t="n"/>
      <c r="M25" s="36" t="inlineStr">
        <is>
          <t>Subtotal 1</t>
        </is>
      </c>
      <c r="N25" s="199" t="n"/>
      <c r="O25" s="35" t="inlineStr">
        <is>
          <t>Margin</t>
        </is>
      </c>
      <c r="P25" s="186" t="inlineStr">
        <is>
          <t>Subtotal 2</t>
        </is>
      </c>
      <c r="S25" s="22" t="n"/>
      <c r="T25" s="22" t="n"/>
      <c r="U25" s="22" t="n"/>
      <c r="V25" s="22" t="n"/>
      <c r="W25" s="22" t="n"/>
    </row>
    <row r="26" ht="16.5" customFormat="1" customHeight="1" s="21" thickTop="1">
      <c r="A26" s="13" t="n">
        <v>1</v>
      </c>
      <c r="B26" s="14" t="inlineStr">
        <is>
          <t>MG Power and Associates Inc</t>
        </is>
      </c>
      <c r="C26" s="234" t="n"/>
      <c r="D26" s="235" t="n"/>
      <c r="E26" s="234" t="n"/>
      <c r="F26" s="235" t="n"/>
      <c r="G26" s="234" t="n"/>
      <c r="H26" s="235" t="n"/>
      <c r="I26" s="236">
        <f>C26*E26*G26</f>
        <v/>
      </c>
      <c r="J26" s="220" t="n"/>
      <c r="K26" s="237" t="n"/>
      <c r="L26" s="235" t="n"/>
      <c r="M26" s="238">
        <f>K26*I26</f>
        <v/>
      </c>
      <c r="N26" s="220" t="n"/>
      <c r="O26" s="5" t="n">
        <v>0.85</v>
      </c>
      <c r="P26" s="45">
        <f>M26/O26</f>
        <v/>
      </c>
      <c r="S26" s="22" t="n"/>
      <c r="T26" s="22" t="n"/>
      <c r="U26" s="22" t="n"/>
      <c r="V26" s="22" t="n"/>
      <c r="W26" s="22" t="n"/>
    </row>
    <row r="27" customFormat="1" s="21">
      <c r="A27" s="5" t="n">
        <v>2</v>
      </c>
      <c r="B27" s="18" t="inlineStr">
        <is>
          <t xml:space="preserve">parking </t>
        </is>
      </c>
      <c r="C27" s="5" t="n"/>
      <c r="D27" s="201" t="n"/>
      <c r="E27" s="5" t="n"/>
      <c r="F27" s="201" t="n"/>
      <c r="G27" s="5" t="n"/>
      <c r="H27" s="201" t="n"/>
      <c r="I27" s="5">
        <f>C27*E27*G27</f>
        <v/>
      </c>
      <c r="J27" s="201" t="n"/>
      <c r="K27" s="239" t="n"/>
      <c r="L27" s="201" t="n"/>
      <c r="M27" s="121">
        <f>K27*I27</f>
        <v/>
      </c>
      <c r="N27" s="201" t="n"/>
      <c r="O27" s="5" t="n">
        <v>0.85</v>
      </c>
      <c r="P27" s="50">
        <f>M27/O27</f>
        <v/>
      </c>
      <c r="S27" s="22" t="n"/>
      <c r="T27" s="22" t="n"/>
      <c r="U27" s="22" t="n"/>
      <c r="V27" s="22" t="n"/>
      <c r="W27" s="22" t="n"/>
    </row>
    <row r="28" customFormat="1" s="21">
      <c r="A28" s="5" t="n">
        <v>3</v>
      </c>
      <c r="B28" s="18" t="inlineStr">
        <is>
          <t>Millwrighting</t>
        </is>
      </c>
      <c r="C28" s="5" t="n"/>
      <c r="D28" s="201" t="n"/>
      <c r="E28" s="5" t="n"/>
      <c r="F28" s="201" t="n"/>
      <c r="G28" s="5" t="n"/>
      <c r="H28" s="201" t="n"/>
      <c r="I28" s="5">
        <f>C28*E28*G28</f>
        <v/>
      </c>
      <c r="J28" s="201" t="n"/>
      <c r="K28" s="239" t="n"/>
      <c r="L28" s="201" t="n"/>
      <c r="M28" s="121">
        <f>K28*I28</f>
        <v/>
      </c>
      <c r="N28" s="201" t="n"/>
      <c r="O28" s="5" t="n">
        <v>0.85</v>
      </c>
      <c r="P28" s="50">
        <f>M28/O28</f>
        <v/>
      </c>
      <c r="S28" s="22" t="n"/>
      <c r="T28" s="22" t="n"/>
      <c r="U28" s="22" t="n"/>
      <c r="V28" s="22" t="n"/>
      <c r="W28" s="22" t="n"/>
    </row>
    <row r="29" customFormat="1" s="21">
      <c r="A29" s="5" t="n">
        <v>4</v>
      </c>
      <c r="B29" s="18" t="inlineStr">
        <is>
          <t>Temp Door</t>
        </is>
      </c>
      <c r="C29" s="5" t="n"/>
      <c r="D29" s="201" t="n"/>
      <c r="E29" s="5" t="n"/>
      <c r="F29" s="201" t="n"/>
      <c r="G29" s="5" t="n"/>
      <c r="H29" s="201" t="n"/>
      <c r="I29" s="5">
        <f>C29*E29*G29</f>
        <v/>
      </c>
      <c r="J29" s="201" t="n"/>
      <c r="K29" s="239" t="n"/>
      <c r="L29" s="201" t="n"/>
      <c r="M29" s="121">
        <f>K29*I29</f>
        <v/>
      </c>
      <c r="N29" s="201" t="n"/>
      <c r="O29" s="5" t="n">
        <v>0.85</v>
      </c>
      <c r="P29" s="50">
        <f>M29/O29</f>
        <v/>
      </c>
      <c r="S29" s="22" t="n"/>
      <c r="T29" s="22" t="n"/>
      <c r="U29" s="22" t="n"/>
      <c r="V29" s="22" t="n"/>
      <c r="W29" s="22" t="n"/>
    </row>
    <row r="30" customFormat="1" s="21">
      <c r="A30" s="5" t="n">
        <v>5</v>
      </c>
      <c r="B30" s="18" t="inlineStr">
        <is>
          <t>Bonding Costs</t>
        </is>
      </c>
      <c r="C30" s="5" t="n"/>
      <c r="D30" s="201" t="n"/>
      <c r="E30" s="5" t="n"/>
      <c r="F30" s="201" t="n"/>
      <c r="G30" s="5" t="n"/>
      <c r="H30" s="201" t="n"/>
      <c r="I30" s="5">
        <f>C30*E30*G30</f>
        <v/>
      </c>
      <c r="J30" s="201" t="n"/>
      <c r="K30" s="239" t="n"/>
      <c r="L30" s="201" t="n"/>
      <c r="M30" s="121">
        <f>K30*I30</f>
        <v/>
      </c>
      <c r="N30" s="201" t="n"/>
      <c r="O30" s="5" t="n">
        <v>0.85</v>
      </c>
      <c r="P30" s="50">
        <f>M30/O30</f>
        <v/>
      </c>
      <c r="S30" s="22" t="n"/>
      <c r="T30" s="22" t="n"/>
      <c r="U30" s="22" t="n"/>
      <c r="V30" s="22" t="n"/>
      <c r="W30" s="22" t="n"/>
    </row>
    <row r="31" customFormat="1" s="21">
      <c r="A31" s="5" t="n"/>
      <c r="B31" s="18" t="n"/>
      <c r="C31" s="5" t="n"/>
      <c r="D31" s="201" t="n"/>
      <c r="E31" s="5" t="n"/>
      <c r="F31" s="201" t="n"/>
      <c r="G31" s="5" t="n"/>
      <c r="H31" s="201" t="n"/>
      <c r="I31" s="5">
        <f>C31*E31*G31</f>
        <v/>
      </c>
      <c r="J31" s="201" t="n"/>
      <c r="K31" s="239" t="n"/>
      <c r="L31" s="201" t="n"/>
      <c r="M31" s="121">
        <f>K31*I31</f>
        <v/>
      </c>
      <c r="N31" s="201" t="n"/>
      <c r="O31" s="5" t="n">
        <v>0.85</v>
      </c>
      <c r="P31" s="50">
        <f>M31/O31</f>
        <v/>
      </c>
      <c r="S31" s="22" t="n"/>
      <c r="T31" s="22" t="n"/>
      <c r="U31" s="22" t="n"/>
      <c r="V31" s="22" t="n"/>
      <c r="W31" s="22" t="n"/>
    </row>
    <row r="32" customFormat="1" s="21">
      <c r="A32" s="5" t="n"/>
      <c r="B32" s="18" t="n"/>
      <c r="C32" s="5" t="n"/>
      <c r="D32" s="201" t="n"/>
      <c r="E32" s="5" t="n"/>
      <c r="F32" s="201" t="n"/>
      <c r="G32" s="5" t="n"/>
      <c r="H32" s="201" t="n"/>
      <c r="I32" s="13">
        <f>C32*E32*G32</f>
        <v/>
      </c>
      <c r="J32" s="206" t="n"/>
      <c r="K32" s="239" t="n"/>
      <c r="L32" s="201" t="n"/>
      <c r="M32" s="15">
        <f>K32*I32</f>
        <v/>
      </c>
      <c r="N32" s="206" t="n"/>
      <c r="O32" s="5" t="n">
        <v>0.85</v>
      </c>
      <c r="P32" s="50">
        <f>M32/O32</f>
        <v/>
      </c>
      <c r="S32" s="22" t="n"/>
      <c r="T32" s="22" t="n"/>
      <c r="U32" s="22" t="n"/>
      <c r="V32" s="22" t="n"/>
      <c r="W32" s="22" t="n"/>
    </row>
    <row r="33" ht="15.75" customFormat="1" customHeight="1" s="21" thickBot="1">
      <c r="A33" s="128" t="inlineStr">
        <is>
          <t>Subtotal Subcontractors</t>
        </is>
      </c>
      <c r="B33" s="240" t="n"/>
      <c r="C33" s="240" t="n"/>
      <c r="D33" s="240" t="n"/>
      <c r="E33" s="240" t="n"/>
      <c r="F33" s="240" t="n"/>
      <c r="G33" s="240" t="n"/>
      <c r="H33" s="240" t="n"/>
      <c r="I33" s="240" t="n"/>
      <c r="J33" s="240" t="n"/>
      <c r="K33" s="240" t="n"/>
      <c r="L33" s="240" t="n"/>
      <c r="M33" s="240" t="n"/>
      <c r="N33" s="240" t="n"/>
      <c r="O33" s="240" t="n"/>
      <c r="P33" s="56">
        <f>SUM(P26:P32)</f>
        <v/>
      </c>
      <c r="S33" s="22" t="n"/>
      <c r="T33" s="22" t="n"/>
      <c r="U33" s="22" t="n"/>
      <c r="V33" s="22" t="n"/>
      <c r="W33" s="22" t="n"/>
    </row>
    <row r="34" ht="34.5" customHeight="1" thickBot="1">
      <c r="A34" s="150" t="inlineStr">
        <is>
          <t>Materials and Equipment</t>
        </is>
      </c>
      <c r="B34" s="198" t="n"/>
      <c r="C34" s="198" t="n"/>
      <c r="D34" s="198" t="n"/>
      <c r="E34" s="198" t="n"/>
      <c r="F34" s="198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9" t="n"/>
      <c r="S34" s="22" t="n"/>
      <c r="T34" s="22" t="n"/>
      <c r="U34" s="22" t="n"/>
      <c r="V34" s="22" t="n"/>
      <c r="W34" s="22" t="n"/>
    </row>
    <row r="35" ht="19.5" customHeight="1" thickBot="1">
      <c r="A35" s="69" t="inlineStr">
        <is>
          <t>Item</t>
        </is>
      </c>
      <c r="B35" s="69" t="inlineStr">
        <is>
          <t>Material Item</t>
        </is>
      </c>
      <c r="C35" s="35" t="inlineStr">
        <is>
          <t>Surcharge</t>
        </is>
      </c>
      <c r="D35" s="199" t="n"/>
      <c r="E35" s="35" t="inlineStr">
        <is>
          <t>Units/Length</t>
        </is>
      </c>
      <c r="F35" s="199" t="n"/>
      <c r="G35" s="36" t="inlineStr">
        <is>
          <t>Other</t>
        </is>
      </c>
      <c r="H35" s="199" t="n"/>
      <c r="I35" s="36" t="inlineStr">
        <is>
          <t>Total Surcharge</t>
        </is>
      </c>
      <c r="J35" s="199" t="n"/>
      <c r="K35" s="36" t="inlineStr">
        <is>
          <t>Unit Price</t>
        </is>
      </c>
      <c r="L35" s="199" t="n"/>
      <c r="M35" s="36" t="inlineStr">
        <is>
          <t>Subtotal 1</t>
        </is>
      </c>
      <c r="N35" s="199" t="n"/>
      <c r="O35" s="35" t="inlineStr">
        <is>
          <t>Margin</t>
        </is>
      </c>
      <c r="P35" s="186" t="inlineStr">
        <is>
          <t>Subtotal 2</t>
        </is>
      </c>
      <c r="S35" s="22" t="n"/>
      <c r="T35" s="22" t="n"/>
      <c r="U35" s="22" t="n"/>
      <c r="V35" s="22" t="n"/>
      <c r="W35" s="22" t="n"/>
    </row>
    <row r="36" ht="16.5" customHeight="1" thickTop="1">
      <c r="A36" s="13" t="n">
        <v>1</v>
      </c>
      <c r="B36" s="14" t="inlineStr">
        <is>
          <t>ABB SWGR</t>
        </is>
      </c>
      <c r="C36" s="236" t="n"/>
      <c r="D36" s="220" t="n"/>
      <c r="E36" s="236" t="n"/>
      <c r="F36" s="220" t="n"/>
      <c r="G36" s="236" t="n"/>
      <c r="H36" s="220" t="n"/>
      <c r="I36" s="236">
        <f>G36*E36*C36</f>
        <v/>
      </c>
      <c r="J36" s="220" t="n"/>
      <c r="K36" s="241" t="n"/>
      <c r="L36" s="220" t="n"/>
      <c r="M36" s="238">
        <f>K36*I36</f>
        <v/>
      </c>
      <c r="N36" s="220" t="n"/>
      <c r="O36" s="5" t="n">
        <v>0.85</v>
      </c>
      <c r="P36" s="70">
        <f>M36/O36</f>
        <v/>
      </c>
      <c r="S36" s="22" t="n"/>
      <c r="T36" s="22" t="n"/>
      <c r="U36" s="22" t="n"/>
      <c r="V36" s="22" t="n"/>
      <c r="W36" s="22" t="n"/>
    </row>
    <row r="37" customFormat="1" s="22">
      <c r="A37" s="13" t="n">
        <v>2</v>
      </c>
      <c r="B37" s="18" t="inlineStr">
        <is>
          <t>parking</t>
        </is>
      </c>
      <c r="C37" s="5" t="n"/>
      <c r="D37" s="201" t="n"/>
      <c r="E37" s="5" t="n"/>
      <c r="F37" s="201" t="n"/>
      <c r="G37" s="5" t="n"/>
      <c r="H37" s="201" t="n"/>
      <c r="I37" s="5">
        <f>G37*E37*C37</f>
        <v/>
      </c>
      <c r="J37" s="201" t="n"/>
      <c r="K37" s="239" t="n"/>
      <c r="L37" s="201" t="n"/>
      <c r="M37" s="121">
        <f>K37*I37</f>
        <v/>
      </c>
      <c r="N37" s="201" t="n"/>
      <c r="O37" s="5" t="n">
        <v>0.85</v>
      </c>
      <c r="P37" s="71">
        <f>M37/O37</f>
        <v/>
      </c>
    </row>
    <row r="38" customFormat="1" s="22">
      <c r="A38" s="13" t="n">
        <v>18</v>
      </c>
      <c r="B38" s="72" t="inlineStr">
        <is>
          <t>AS-7096N Sealant</t>
        </is>
      </c>
      <c r="C38" s="5" t="n"/>
      <c r="D38" s="201" t="n"/>
      <c r="E38" s="5" t="n"/>
      <c r="F38" s="201" t="n"/>
      <c r="G38" s="5" t="n"/>
      <c r="H38" s="201" t="n"/>
      <c r="I38" s="5">
        <f>G38*E38*C38</f>
        <v/>
      </c>
      <c r="J38" s="201" t="n"/>
      <c r="K38" s="239" t="n"/>
      <c r="L38" s="201" t="n"/>
      <c r="M38" s="121">
        <f>K38*I38</f>
        <v/>
      </c>
      <c r="N38" s="201" t="n"/>
      <c r="O38" s="5" t="n">
        <v>0.85</v>
      </c>
      <c r="P38" s="71">
        <f>M38/O38</f>
        <v/>
      </c>
    </row>
    <row r="39" customFormat="1" s="22">
      <c r="A39" s="13" t="n">
        <v>19</v>
      </c>
      <c r="B39" s="72" t="inlineStr">
        <is>
          <t>Breaker HLL36060</t>
        </is>
      </c>
      <c r="C39" s="5" t="n"/>
      <c r="D39" s="201" t="n"/>
      <c r="E39" s="5" t="n"/>
      <c r="F39" s="201" t="n"/>
      <c r="G39" s="5" t="n"/>
      <c r="H39" s="201" t="n"/>
      <c r="I39" s="5">
        <f>G39*E39*C39</f>
        <v/>
      </c>
      <c r="J39" s="201" t="n"/>
      <c r="K39" s="239" t="n"/>
      <c r="L39" s="201" t="n"/>
      <c r="M39" s="121">
        <f>K39*I39</f>
        <v/>
      </c>
      <c r="N39" s="201" t="n"/>
      <c r="O39" s="5" t="n">
        <v>0.85</v>
      </c>
      <c r="P39" s="71">
        <f>M39/O39</f>
        <v/>
      </c>
    </row>
    <row r="40" ht="31.5" customFormat="1" customHeight="1" s="22">
      <c r="A40" s="13" t="n">
        <v>20</v>
      </c>
      <c r="B40" s="72" t="inlineStr">
        <is>
          <t>Pull Box, EEMAC-1 300mX300mmX150mm (P/N: CS12126)</t>
        </is>
      </c>
      <c r="C40" s="5" t="n"/>
      <c r="D40" s="201" t="n"/>
      <c r="E40" s="5" t="n"/>
      <c r="F40" s="201" t="n"/>
      <c r="G40" s="5" t="n"/>
      <c r="H40" s="201" t="n"/>
      <c r="I40" s="5">
        <f>G40*E40*C40</f>
        <v/>
      </c>
      <c r="J40" s="201" t="n"/>
      <c r="K40" s="239" t="n"/>
      <c r="L40" s="201" t="n"/>
      <c r="M40" s="121">
        <f>K40*I40</f>
        <v/>
      </c>
      <c r="N40" s="201" t="n"/>
      <c r="O40" s="5" t="n">
        <v>0.85</v>
      </c>
      <c r="P40" s="71">
        <f>M40/O40</f>
        <v/>
      </c>
    </row>
    <row r="41" customFormat="1" s="22">
      <c r="A41" s="13" t="n">
        <v>27</v>
      </c>
      <c r="B41" s="72" t="inlineStr">
        <is>
          <t>Aluminum Bracket (Aluma Form)</t>
        </is>
      </c>
      <c r="C41" s="5" t="n"/>
      <c r="D41" s="201" t="n"/>
      <c r="E41" s="5" t="n"/>
      <c r="F41" s="201" t="n"/>
      <c r="G41" s="5" t="n"/>
      <c r="H41" s="201" t="n"/>
      <c r="I41" s="5">
        <f>G41*E41*C41</f>
        <v/>
      </c>
      <c r="J41" s="201" t="n"/>
      <c r="K41" s="239" t="n"/>
      <c r="L41" s="201" t="n"/>
      <c r="M41" s="121">
        <f>K41*I41</f>
        <v/>
      </c>
      <c r="N41" s="201" t="n"/>
      <c r="O41" s="5" t="n">
        <v>0.85</v>
      </c>
      <c r="P41" s="71">
        <f>M41/O41</f>
        <v/>
      </c>
    </row>
    <row r="42">
      <c r="A42" s="13" t="n">
        <v>28</v>
      </c>
      <c r="B42" s="18" t="n"/>
      <c r="C42" s="5" t="n"/>
      <c r="D42" s="201" t="n"/>
      <c r="E42" s="5" t="n"/>
      <c r="F42" s="201" t="n"/>
      <c r="G42" s="5" t="n"/>
      <c r="H42" s="201" t="n"/>
      <c r="I42" s="5">
        <f>G42*E42*C42</f>
        <v/>
      </c>
      <c r="J42" s="201" t="n"/>
      <c r="K42" s="239" t="n"/>
      <c r="L42" s="201" t="n"/>
      <c r="M42" s="121">
        <f>K42*I42</f>
        <v/>
      </c>
      <c r="N42" s="201" t="n"/>
      <c r="O42" s="5" t="n">
        <v>0.85</v>
      </c>
      <c r="P42" s="71">
        <f>M42/O42</f>
        <v/>
      </c>
      <c r="S42" s="22" t="n"/>
      <c r="T42" s="22" t="n"/>
      <c r="U42" s="22" t="n"/>
      <c r="V42" s="22" t="n"/>
      <c r="W42" s="22" t="n"/>
    </row>
    <row r="43">
      <c r="A43" s="13" t="n">
        <v>29</v>
      </c>
      <c r="B43" s="4" t="n"/>
      <c r="C43" s="5" t="n"/>
      <c r="D43" s="201" t="n"/>
      <c r="E43" s="5" t="n"/>
      <c r="F43" s="201" t="n"/>
      <c r="G43" s="5" t="n"/>
      <c r="H43" s="201" t="n"/>
      <c r="I43" s="5">
        <f>G43*E43*C43</f>
        <v/>
      </c>
      <c r="J43" s="201" t="n"/>
      <c r="K43" s="239" t="n"/>
      <c r="L43" s="201" t="n"/>
      <c r="M43" s="121">
        <f>K43*I43</f>
        <v/>
      </c>
      <c r="N43" s="201" t="n"/>
      <c r="O43" s="5" t="n">
        <v>0.85</v>
      </c>
      <c r="P43" s="71">
        <f>M43/O43</f>
        <v/>
      </c>
      <c r="S43" s="22" t="n"/>
      <c r="T43" s="73" t="n"/>
      <c r="U43" s="22" t="n"/>
      <c r="V43" s="22" t="n"/>
      <c r="W43" s="22" t="n"/>
    </row>
    <row r="44" ht="16.5" customFormat="1" customHeight="1" s="21" thickBot="1">
      <c r="A44" s="109" t="inlineStr">
        <is>
          <t>Subtotal Materials and Equipment</t>
        </is>
      </c>
      <c r="B44" s="200" t="n"/>
      <c r="C44" s="200" t="n"/>
      <c r="D44" s="200" t="n"/>
      <c r="E44" s="200" t="n"/>
      <c r="F44" s="200" t="n"/>
      <c r="G44" s="200" t="n"/>
      <c r="H44" s="200" t="n"/>
      <c r="I44" s="200" t="n"/>
      <c r="J44" s="200" t="n"/>
      <c r="K44" s="200" t="n"/>
      <c r="L44" s="200" t="n"/>
      <c r="M44" s="200" t="n"/>
      <c r="N44" s="200" t="n"/>
      <c r="O44" s="200" t="n"/>
      <c r="P44" s="74">
        <f>SUM(P36:P43)</f>
        <v/>
      </c>
      <c r="S44" s="22" t="n"/>
      <c r="T44" s="22" t="n"/>
      <c r="U44" s="22" t="n"/>
      <c r="V44" s="22" t="n"/>
      <c r="W44" s="22" t="n"/>
    </row>
    <row r="45" ht="16.5" customHeight="1" thickTop="1">
      <c r="A45" s="33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3" t="n"/>
      <c r="S45" s="22" t="n"/>
      <c r="T45" s="22" t="n"/>
      <c r="U45" s="22" t="n"/>
      <c r="V45" s="22" t="n"/>
      <c r="W45" s="22" t="n"/>
    </row>
    <row r="46">
      <c r="A46" s="204" t="n"/>
      <c r="B46" s="205" t="n"/>
      <c r="C46" s="205" t="n"/>
      <c r="D46" s="205" t="n"/>
      <c r="E46" s="205" t="n"/>
      <c r="F46" s="205" t="n"/>
      <c r="G46" s="205" t="n"/>
      <c r="H46" s="205" t="n"/>
      <c r="I46" s="205" t="n"/>
      <c r="J46" s="205" t="n"/>
      <c r="K46" s="205" t="n"/>
      <c r="L46" s="205" t="n"/>
      <c r="M46" s="205" t="n"/>
      <c r="N46" s="205" t="n"/>
      <c r="O46" s="205" t="n"/>
      <c r="P46" s="206" t="n"/>
      <c r="S46" s="22" t="n"/>
      <c r="T46" s="22" t="n"/>
      <c r="U46" s="22" t="n"/>
      <c r="V46" s="22" t="n"/>
      <c r="W46" s="22" t="n"/>
    </row>
    <row r="47">
      <c r="A47" s="103" t="inlineStr">
        <is>
          <t>Project Subtotal</t>
        </is>
      </c>
      <c r="B47" s="200" t="n"/>
      <c r="C47" s="200" t="n"/>
      <c r="D47" s="200" t="n"/>
      <c r="E47" s="200" t="n"/>
      <c r="F47" s="200" t="n"/>
      <c r="G47" s="200" t="n"/>
      <c r="H47" s="200" t="n"/>
      <c r="I47" s="200" t="n"/>
      <c r="J47" s="200" t="n"/>
      <c r="K47" s="200" t="n"/>
      <c r="L47" s="200" t="n"/>
      <c r="M47" s="200" t="n"/>
      <c r="N47" s="200" t="n"/>
      <c r="O47" s="201" t="n"/>
      <c r="P47" s="75">
        <f>P23+P33+P44</f>
        <v/>
      </c>
      <c r="S47" s="22" t="n"/>
      <c r="T47" s="22" t="n"/>
      <c r="U47" s="22" t="n"/>
      <c r="V47" s="22" t="n"/>
      <c r="W47" s="22" t="n"/>
    </row>
    <row r="48">
      <c r="A48" s="103" t="n"/>
      <c r="B48" s="200" t="n"/>
      <c r="C48" s="200" t="n"/>
      <c r="D48" s="200" t="n"/>
      <c r="E48" s="200" t="n"/>
      <c r="F48" s="200" t="n"/>
      <c r="G48" s="200" t="n"/>
      <c r="H48" s="200" t="n"/>
      <c r="I48" s="200" t="n"/>
      <c r="J48" s="200" t="n"/>
      <c r="K48" s="200" t="n"/>
      <c r="L48" s="200" t="n"/>
      <c r="M48" s="200" t="n"/>
      <c r="N48" s="200" t="n"/>
      <c r="O48" s="200" t="n"/>
      <c r="P48" s="201" t="n"/>
      <c r="S48" s="22" t="n"/>
      <c r="T48" s="22" t="n"/>
      <c r="U48" s="22" t="n"/>
      <c r="V48" s="22" t="n"/>
      <c r="W48" s="22" t="n"/>
    </row>
    <row r="49">
      <c r="A49" s="103" t="inlineStr">
        <is>
          <t>Cash Allowance</t>
        </is>
      </c>
      <c r="B49" s="200" t="n"/>
      <c r="C49" s="200" t="n"/>
      <c r="D49" s="200" t="n"/>
      <c r="E49" s="200" t="n"/>
      <c r="F49" s="200" t="n"/>
      <c r="G49" s="200" t="n"/>
      <c r="H49" s="200" t="n"/>
      <c r="I49" s="200" t="n"/>
      <c r="J49" s="200" t="n"/>
      <c r="K49" s="200" t="n"/>
      <c r="L49" s="200" t="n"/>
      <c r="M49" s="200" t="n"/>
      <c r="N49" s="200" t="n"/>
      <c r="O49" s="201" t="n"/>
      <c r="P49" s="75" t="n">
        <v>0</v>
      </c>
      <c r="S49" s="22" t="n"/>
      <c r="T49" s="22" t="n"/>
      <c r="U49" s="22" t="n"/>
      <c r="V49" s="22" t="n"/>
      <c r="W49" s="22" t="n"/>
    </row>
    <row r="50">
      <c r="A50" s="103" t="n"/>
      <c r="B50" s="200" t="n"/>
      <c r="C50" s="200" t="n"/>
      <c r="D50" s="200" t="n"/>
      <c r="E50" s="200" t="n"/>
      <c r="F50" s="200" t="n"/>
      <c r="G50" s="200" t="n"/>
      <c r="H50" s="200" t="n"/>
      <c r="I50" s="200" t="n"/>
      <c r="J50" s="200" t="n"/>
      <c r="K50" s="200" t="n"/>
      <c r="L50" s="200" t="n"/>
      <c r="M50" s="200" t="n"/>
      <c r="N50" s="200" t="n"/>
      <c r="O50" s="200" t="n"/>
      <c r="P50" s="201" t="n"/>
      <c r="S50" s="22" t="n"/>
      <c r="T50" s="22" t="n"/>
      <c r="U50" s="22" t="n"/>
      <c r="V50" s="22" t="n"/>
      <c r="W50" s="22" t="n"/>
    </row>
    <row r="51">
      <c r="A51" s="103" t="inlineStr">
        <is>
          <t>Utility Isolation</t>
        </is>
      </c>
      <c r="B51" s="200" t="n"/>
      <c r="C51" s="200" t="n"/>
      <c r="D51" s="200" t="n"/>
      <c r="E51" s="200" t="n"/>
      <c r="F51" s="200" t="n"/>
      <c r="G51" s="200" t="n"/>
      <c r="H51" s="200" t="n"/>
      <c r="I51" s="200" t="n"/>
      <c r="J51" s="200" t="n"/>
      <c r="K51" s="200" t="n"/>
      <c r="L51" s="200" t="n"/>
      <c r="M51" s="200" t="n"/>
      <c r="N51" s="200" t="n"/>
      <c r="O51" s="201" t="n"/>
      <c r="P51" s="75" t="n">
        <v>0</v>
      </c>
      <c r="S51" s="22" t="n"/>
      <c r="T51" s="22" t="n"/>
      <c r="U51" s="22" t="n"/>
      <c r="V51" s="22" t="n"/>
      <c r="W51" s="22" t="n"/>
    </row>
    <row r="52">
      <c r="A52" s="103" t="n"/>
      <c r="B52" s="200" t="n"/>
      <c r="C52" s="200" t="n"/>
      <c r="D52" s="200" t="n"/>
      <c r="E52" s="200" t="n"/>
      <c r="F52" s="200" t="n"/>
      <c r="G52" s="200" t="n"/>
      <c r="H52" s="200" t="n"/>
      <c r="I52" s="200" t="n"/>
      <c r="J52" s="200" t="n"/>
      <c r="K52" s="200" t="n"/>
      <c r="L52" s="200" t="n"/>
      <c r="M52" s="200" t="n"/>
      <c r="N52" s="200" t="n"/>
      <c r="O52" s="200" t="n"/>
      <c r="P52" s="201" t="n"/>
      <c r="S52" s="22" t="n"/>
      <c r="T52" s="22" t="n"/>
      <c r="U52" s="22" t="n"/>
      <c r="V52" s="22" t="n"/>
      <c r="W52" s="22" t="n"/>
    </row>
    <row r="53">
      <c r="A53" s="104" t="inlineStr">
        <is>
          <t>Discount</t>
        </is>
      </c>
      <c r="B53" s="200" t="n"/>
      <c r="C53" s="200" t="n"/>
      <c r="D53" s="200" t="n"/>
      <c r="E53" s="200" t="n"/>
      <c r="F53" s="200" t="n"/>
      <c r="G53" s="200" t="n"/>
      <c r="H53" s="200" t="n"/>
      <c r="I53" s="200" t="n"/>
      <c r="J53" s="200" t="n"/>
      <c r="K53" s="200" t="n"/>
      <c r="L53" s="200" t="n"/>
      <c r="M53" s="200" t="n"/>
      <c r="N53" s="200" t="n"/>
      <c r="O53" s="201" t="n"/>
      <c r="P53" s="76" t="n">
        <v>0</v>
      </c>
      <c r="S53" s="22" t="n"/>
      <c r="T53" s="22" t="n"/>
      <c r="U53" s="22" t="n"/>
      <c r="V53" s="22" t="n"/>
      <c r="W53" s="22" t="n"/>
    </row>
    <row r="54">
      <c r="A54" s="189" t="n"/>
      <c r="B54" s="200" t="n"/>
      <c r="C54" s="200" t="n"/>
      <c r="D54" s="200" t="n"/>
      <c r="E54" s="200" t="n"/>
      <c r="F54" s="200" t="n"/>
      <c r="G54" s="200" t="n"/>
      <c r="H54" s="200" t="n"/>
      <c r="I54" s="200" t="n"/>
      <c r="J54" s="200" t="n"/>
      <c r="K54" s="200" t="n"/>
      <c r="L54" s="200" t="n"/>
      <c r="M54" s="200" t="n"/>
      <c r="N54" s="200" t="n"/>
      <c r="O54" s="200" t="n"/>
      <c r="P54" s="201" t="n"/>
      <c r="S54" s="22" t="n"/>
      <c r="T54" s="22" t="n"/>
      <c r="U54" s="22" t="n"/>
      <c r="V54" s="22" t="n"/>
      <c r="W54" s="22" t="n"/>
    </row>
    <row r="55">
      <c r="A55" s="103" t="inlineStr">
        <is>
          <t>Project Total</t>
        </is>
      </c>
      <c r="B55" s="200" t="n"/>
      <c r="C55" s="200" t="n"/>
      <c r="D55" s="200" t="n"/>
      <c r="E55" s="200" t="n"/>
      <c r="F55" s="200" t="n"/>
      <c r="G55" s="200" t="n"/>
      <c r="H55" s="200" t="n"/>
      <c r="I55" s="200" t="n"/>
      <c r="J55" s="200" t="n"/>
      <c r="K55" s="200" t="n"/>
      <c r="L55" s="200" t="n"/>
      <c r="M55" s="200" t="n"/>
      <c r="N55" s="200" t="n"/>
      <c r="O55" s="201" t="n"/>
      <c r="P55" s="75">
        <f>SUM(P47,P49,P51, P53)</f>
        <v/>
      </c>
      <c r="S55" s="22" t="n"/>
      <c r="T55" s="73" t="n"/>
      <c r="U55" s="22" t="n"/>
      <c r="V55" s="22" t="n"/>
      <c r="W55" s="22" t="n"/>
    </row>
    <row r="56">
      <c r="A56" s="103" t="inlineStr">
        <is>
          <t>HST</t>
        </is>
      </c>
      <c r="B56" s="200" t="n"/>
      <c r="C56" s="200" t="n"/>
      <c r="D56" s="200" t="n"/>
      <c r="E56" s="200" t="n"/>
      <c r="F56" s="200" t="n"/>
      <c r="G56" s="200" t="n"/>
      <c r="H56" s="200" t="n"/>
      <c r="I56" s="200" t="n"/>
      <c r="J56" s="200" t="n"/>
      <c r="K56" s="200" t="n"/>
      <c r="L56" s="200" t="n"/>
      <c r="M56" s="200" t="n"/>
      <c r="N56" s="200" t="n"/>
      <c r="O56" s="201" t="n"/>
      <c r="P56" s="75">
        <f>P55*0.13</f>
        <v/>
      </c>
    </row>
    <row r="57">
      <c r="A57" s="103" t="inlineStr">
        <is>
          <t>TOTAL</t>
        </is>
      </c>
      <c r="B57" s="200" t="n"/>
      <c r="C57" s="200" t="n"/>
      <c r="D57" s="200" t="n"/>
      <c r="E57" s="200" t="n"/>
      <c r="F57" s="200" t="n"/>
      <c r="G57" s="200" t="n"/>
      <c r="H57" s="200" t="n"/>
      <c r="I57" s="200" t="n"/>
      <c r="J57" s="200" t="n"/>
      <c r="K57" s="200" t="n"/>
      <c r="L57" s="200" t="n"/>
      <c r="M57" s="200" t="n"/>
      <c r="N57" s="200" t="n"/>
      <c r="O57" s="201" t="n"/>
      <c r="P57" s="75">
        <f>P55+P56</f>
        <v/>
      </c>
    </row>
    <row r="58">
      <c r="A58" s="27" t="inlineStr">
        <is>
          <t>HST Check for final price should be the same as above</t>
        </is>
      </c>
      <c r="P58" s="29">
        <f>P55*1.13</f>
        <v/>
      </c>
    </row>
    <row r="72" ht="16.5" customHeight="1" thickBot="1"/>
    <row r="73" ht="32.25" customHeight="1" thickBot="1">
      <c r="B73" s="27" t="inlineStr">
        <is>
          <t>APS (Cost)</t>
        </is>
      </c>
      <c r="C73" s="93" t="inlineStr">
        <is>
          <t>Regular</t>
        </is>
      </c>
      <c r="D73" s="93" t="inlineStr">
        <is>
          <t>Regular W/truck</t>
        </is>
      </c>
      <c r="E73" s="199" t="n"/>
      <c r="F73" s="82" t="inlineStr">
        <is>
          <t>Double Time</t>
        </is>
      </c>
      <c r="G73" s="82" t="inlineStr">
        <is>
          <t>Double Time W/truck</t>
        </is>
      </c>
      <c r="H73" s="83" t="inlineStr">
        <is>
          <t>Shift 20%</t>
        </is>
      </c>
      <c r="I73" s="83" t="inlineStr">
        <is>
          <t>Shift 20% W/truck</t>
        </is>
      </c>
    </row>
    <row r="74">
      <c r="B74" s="77" t="inlineStr">
        <is>
          <t xml:space="preserve">FOREMAN                                          </t>
        </is>
      </c>
      <c r="C74" s="207" t="n">
        <v>102</v>
      </c>
      <c r="D74" s="207">
        <f>(C74+18.5)</f>
        <v/>
      </c>
      <c r="E74" s="206" t="n"/>
      <c r="F74" s="208" t="n">
        <v>203.99</v>
      </c>
      <c r="G74" s="208">
        <f>(F74+18.5)</f>
        <v/>
      </c>
      <c r="H74" s="209" t="n">
        <v>122.38</v>
      </c>
      <c r="I74" s="210">
        <f>H74+18.5</f>
        <v/>
      </c>
      <c r="J74" s="211" t="n"/>
      <c r="K74" s="211" t="n"/>
    </row>
    <row r="75">
      <c r="B75" s="77" t="inlineStr">
        <is>
          <t xml:space="preserve">JOURNEYMAN                                 </t>
        </is>
      </c>
      <c r="C75" s="212" t="n">
        <v>90.93000000000001</v>
      </c>
      <c r="D75" s="207">
        <f>(C75+18.5)</f>
        <v/>
      </c>
      <c r="E75" s="206" t="n"/>
      <c r="F75" s="213" t="n">
        <v>181.86</v>
      </c>
      <c r="G75" s="208">
        <f>(F75+18.5)</f>
        <v/>
      </c>
      <c r="H75" s="214" t="n">
        <v>109.13</v>
      </c>
      <c r="I75" s="210">
        <f>H75+18.5</f>
        <v/>
      </c>
      <c r="J75" s="211" t="n"/>
      <c r="K75" s="211" t="n"/>
    </row>
    <row r="76">
      <c r="B76" s="77" t="inlineStr">
        <is>
          <t xml:space="preserve">APPRENTICE #5                                </t>
        </is>
      </c>
      <c r="C76" s="212" t="n">
        <v>74.01000000000001</v>
      </c>
      <c r="D76" s="207">
        <f>(C76+18.5)</f>
        <v/>
      </c>
      <c r="E76" s="206" t="n"/>
      <c r="F76" s="213" t="n">
        <v>147.98</v>
      </c>
      <c r="G76" s="208">
        <f>(F76+18.5)</f>
        <v/>
      </c>
      <c r="H76" s="214" t="n">
        <v>88.78</v>
      </c>
      <c r="I76" s="210">
        <f>H76+18.5</f>
        <v/>
      </c>
      <c r="J76" s="211" t="n"/>
      <c r="K76" s="211" t="n"/>
    </row>
    <row r="77">
      <c r="B77" s="77" t="inlineStr">
        <is>
          <t xml:space="preserve">APPRENTICE #4                                </t>
        </is>
      </c>
      <c r="C77" s="212" t="n">
        <v>65.65000000000001</v>
      </c>
      <c r="D77" s="207">
        <f>(C77+18.5)</f>
        <v/>
      </c>
      <c r="E77" s="206" t="n"/>
      <c r="F77" s="213" t="n">
        <v>131.3</v>
      </c>
      <c r="G77" s="208">
        <f>(F77+18.5)</f>
        <v/>
      </c>
      <c r="H77" s="214" t="n">
        <v>78.79000000000001</v>
      </c>
      <c r="I77" s="210">
        <f>H77+18.5</f>
        <v/>
      </c>
      <c r="J77" s="211" t="n"/>
      <c r="K77" s="211" t="n"/>
    </row>
    <row r="78">
      <c r="B78" s="77" t="inlineStr">
        <is>
          <t xml:space="preserve">APPRENTICE #3                              </t>
        </is>
      </c>
      <c r="C78" s="212" t="n">
        <v>57.28</v>
      </c>
      <c r="D78" s="207">
        <f>(C78+18.5)</f>
        <v/>
      </c>
      <c r="E78" s="206" t="n"/>
      <c r="F78" s="213" t="n">
        <v>114.57</v>
      </c>
      <c r="G78" s="208">
        <f>(F78+18.5)</f>
        <v/>
      </c>
      <c r="H78" s="214" t="n">
        <v>68.73999999999999</v>
      </c>
      <c r="I78" s="210">
        <f>H78+18.5</f>
        <v/>
      </c>
      <c r="J78" s="211" t="n"/>
      <c r="K78" s="211" t="n"/>
    </row>
    <row r="79">
      <c r="B79" s="77" t="inlineStr">
        <is>
          <t xml:space="preserve">APPRENTICE #2                                 </t>
        </is>
      </c>
      <c r="C79" s="212" t="n">
        <v>48.95</v>
      </c>
      <c r="D79" s="207">
        <f>(C79+18.5)</f>
        <v/>
      </c>
      <c r="E79" s="206" t="n"/>
      <c r="F79" s="213" t="n">
        <v>97.84999999999999</v>
      </c>
      <c r="G79" s="208">
        <f>(F79+18.5)</f>
        <v/>
      </c>
      <c r="H79" s="214" t="n">
        <v>58.71</v>
      </c>
      <c r="I79" s="210">
        <f>H79+18.5</f>
        <v/>
      </c>
      <c r="J79" s="211" t="n"/>
      <c r="K79" s="211" t="n"/>
    </row>
    <row r="80">
      <c r="B80" s="77" t="inlineStr">
        <is>
          <t xml:space="preserve">APPRENTICE #1                                 </t>
        </is>
      </c>
      <c r="C80" s="212" t="n">
        <v>40.57</v>
      </c>
      <c r="D80" s="207">
        <f>(C80+18.5)</f>
        <v/>
      </c>
      <c r="E80" s="206" t="n"/>
      <c r="F80" s="213" t="n">
        <v>81.15000000000001</v>
      </c>
      <c r="G80" s="208">
        <f>(F80+18.5)</f>
        <v/>
      </c>
      <c r="H80" s="214" t="n">
        <v>48.69</v>
      </c>
      <c r="I80" s="210">
        <f>H80+18.5</f>
        <v/>
      </c>
      <c r="J80" s="211" t="n"/>
      <c r="K80" s="211" t="n"/>
      <c r="L80" s="211" t="n"/>
    </row>
    <row r="81">
      <c r="B81" s="77" t="inlineStr">
        <is>
          <t>pre apprentice</t>
        </is>
      </c>
      <c r="C81" s="212" t="n">
        <v>32.43</v>
      </c>
      <c r="D81" s="207">
        <f>(C81+18.5)</f>
        <v/>
      </c>
      <c r="E81" s="206" t="n"/>
      <c r="F81" s="213" t="n">
        <v>64.86</v>
      </c>
      <c r="G81" s="208">
        <f>(F81+18.5)</f>
        <v/>
      </c>
      <c r="H81" s="214" t="n">
        <v>38.92</v>
      </c>
      <c r="I81" s="210">
        <f>H81+18.5</f>
        <v/>
      </c>
      <c r="J81" s="211" t="n"/>
      <c r="K81" s="211" t="n"/>
      <c r="L81" s="211" t="n"/>
    </row>
    <row r="82" ht="16.5" customHeight="1" thickBot="1">
      <c r="D82" s="216" t="n"/>
      <c r="E82" s="217" t="n"/>
      <c r="L82" s="211" t="n"/>
    </row>
    <row r="83" ht="32.25" customHeight="1" thickBot="1">
      <c r="B83" s="27" t="inlineStr">
        <is>
          <t>APS (Sell)</t>
        </is>
      </c>
      <c r="C83" s="93" t="inlineStr">
        <is>
          <t>Regular</t>
        </is>
      </c>
      <c r="D83" s="93" t="inlineStr">
        <is>
          <t>Regular W/truck</t>
        </is>
      </c>
      <c r="E83" s="199" t="n"/>
      <c r="F83" s="82" t="inlineStr">
        <is>
          <t>Double Time</t>
        </is>
      </c>
      <c r="G83" s="82" t="inlineStr">
        <is>
          <t>Double Time W/truck</t>
        </is>
      </c>
      <c r="H83" s="83" t="inlineStr">
        <is>
          <t>Shift 20%</t>
        </is>
      </c>
      <c r="I83" s="83" t="inlineStr">
        <is>
          <t>Shift 20% W/truck</t>
        </is>
      </c>
      <c r="K83" s="33" t="inlineStr">
        <is>
          <t>Margin</t>
        </is>
      </c>
      <c r="L83" s="211" t="n"/>
    </row>
    <row r="84">
      <c r="B84" s="77" t="inlineStr">
        <is>
          <t xml:space="preserve">FOREMAN                                          </t>
        </is>
      </c>
      <c r="C84" s="218">
        <f>C74/$K$84</f>
        <v/>
      </c>
      <c r="D84" s="219">
        <f>D74/$K$84</f>
        <v/>
      </c>
      <c r="E84" s="220" t="n"/>
      <c r="F84" s="218">
        <f>F74/$K$84</f>
        <v/>
      </c>
      <c r="G84" s="218">
        <f>G74/$K$84</f>
        <v/>
      </c>
      <c r="H84" s="218">
        <f>H74/$K$84</f>
        <v/>
      </c>
      <c r="I84" s="218">
        <f>I74/$K$84</f>
        <v/>
      </c>
      <c r="K84" s="5" t="n">
        <v>0.8</v>
      </c>
      <c r="L84" s="211" t="n"/>
    </row>
    <row r="85">
      <c r="B85" s="77" t="inlineStr">
        <is>
          <t xml:space="preserve">JOURNEYMAN                                 </t>
        </is>
      </c>
      <c r="C85" s="218">
        <f>C75/$K$84</f>
        <v/>
      </c>
      <c r="D85" s="212">
        <f>D75/$K$84</f>
        <v/>
      </c>
      <c r="E85" s="201" t="n"/>
      <c r="F85" s="218">
        <f>F75/$K$84</f>
        <v/>
      </c>
      <c r="G85" s="218">
        <f>G75/$K$84</f>
        <v/>
      </c>
      <c r="H85" s="218">
        <f>H75/$K$84</f>
        <v/>
      </c>
      <c r="I85" s="218">
        <f>I75/$K$84</f>
        <v/>
      </c>
      <c r="L85" s="211" t="n"/>
    </row>
    <row r="86">
      <c r="B86" s="77" t="inlineStr">
        <is>
          <t xml:space="preserve">APPRENTICE #5                                </t>
        </is>
      </c>
      <c r="C86" s="218">
        <f>C76/$K$84</f>
        <v/>
      </c>
      <c r="D86" s="212">
        <f>D76/$K$84</f>
        <v/>
      </c>
      <c r="E86" s="201" t="n"/>
      <c r="F86" s="218">
        <f>F76/$K$84</f>
        <v/>
      </c>
      <c r="G86" s="218">
        <f>G76/$K$84</f>
        <v/>
      </c>
      <c r="H86" s="218">
        <f>H76/$K$84</f>
        <v/>
      </c>
      <c r="I86" s="218">
        <f>I76/$K$84</f>
        <v/>
      </c>
      <c r="L86" s="211" t="n"/>
    </row>
    <row r="87">
      <c r="B87" s="77" t="inlineStr">
        <is>
          <t xml:space="preserve">APPRENTICE #4                                </t>
        </is>
      </c>
      <c r="C87" s="218">
        <f>C77/$K$84</f>
        <v/>
      </c>
      <c r="D87" s="212">
        <f>D77/$K$84</f>
        <v/>
      </c>
      <c r="E87" s="201" t="n"/>
      <c r="F87" s="218">
        <f>F77/$K$84</f>
        <v/>
      </c>
      <c r="G87" s="218">
        <f>G77/$K$84</f>
        <v/>
      </c>
      <c r="H87" s="218">
        <f>H77/$K$84</f>
        <v/>
      </c>
      <c r="I87" s="218">
        <f>I77/$K$84</f>
        <v/>
      </c>
    </row>
    <row r="88">
      <c r="B88" s="77" t="inlineStr">
        <is>
          <t xml:space="preserve">APPRENTICE #3                              </t>
        </is>
      </c>
      <c r="C88" s="218">
        <f>C78/$K$84</f>
        <v/>
      </c>
      <c r="D88" s="212">
        <f>D78/$K$84</f>
        <v/>
      </c>
      <c r="E88" s="201" t="n"/>
      <c r="F88" s="218">
        <f>F78/$K$84</f>
        <v/>
      </c>
      <c r="G88" s="218">
        <f>G78/$K$84</f>
        <v/>
      </c>
      <c r="H88" s="218">
        <f>H78/$K$84</f>
        <v/>
      </c>
      <c r="I88" s="218">
        <f>I78/$K$84</f>
        <v/>
      </c>
    </row>
    <row r="89">
      <c r="B89" s="77" t="inlineStr">
        <is>
          <t xml:space="preserve">APPRENTICE #2                                 </t>
        </is>
      </c>
      <c r="C89" s="218">
        <f>C79/$K$84</f>
        <v/>
      </c>
      <c r="D89" s="212">
        <f>D79/$K$84</f>
        <v/>
      </c>
      <c r="E89" s="201" t="n"/>
      <c r="F89" s="218">
        <f>F79/$K$84</f>
        <v/>
      </c>
      <c r="G89" s="218">
        <f>G79/$K$84</f>
        <v/>
      </c>
      <c r="H89" s="218">
        <f>H79/$K$84</f>
        <v/>
      </c>
      <c r="I89" s="218">
        <f>I79/$K$84</f>
        <v/>
      </c>
    </row>
    <row r="90">
      <c r="B90" s="77" t="inlineStr">
        <is>
          <t xml:space="preserve">APPRENTICE #1                                 </t>
        </is>
      </c>
      <c r="C90" s="218">
        <f>C80/$K$84</f>
        <v/>
      </c>
      <c r="D90" s="212">
        <f>D80/$K$84</f>
        <v/>
      </c>
      <c r="E90" s="201" t="n"/>
      <c r="F90" s="218">
        <f>F80/$K$84</f>
        <v/>
      </c>
      <c r="G90" s="218">
        <f>G80/$K$84</f>
        <v/>
      </c>
      <c r="H90" s="218">
        <f>H80/$K$84</f>
        <v/>
      </c>
      <c r="I90" s="218">
        <f>I80/$K$84</f>
        <v/>
      </c>
    </row>
    <row r="91">
      <c r="B91" s="77" t="inlineStr">
        <is>
          <t>pre apprentice</t>
        </is>
      </c>
      <c r="C91" s="218">
        <f>C81/$K$84</f>
        <v/>
      </c>
      <c r="D91" s="212">
        <f>D81/$K$84</f>
        <v/>
      </c>
      <c r="E91" s="201" t="n"/>
      <c r="F91" s="218">
        <f>F81/$K$84</f>
        <v/>
      </c>
      <c r="G91" s="218">
        <f>G81/$K$84</f>
        <v/>
      </c>
      <c r="H91" s="218">
        <f>H81/$K$84</f>
        <v/>
      </c>
      <c r="I91" s="218">
        <f>I81/$K$84</f>
        <v/>
      </c>
    </row>
    <row r="92">
      <c r="D92" s="221" t="n"/>
    </row>
    <row r="93">
      <c r="D93" s="221" t="n"/>
    </row>
    <row r="94">
      <c r="B94" s="27" t="inlineStr">
        <is>
          <t>Bonding</t>
        </is>
      </c>
      <c r="C94" s="27" t="inlineStr">
        <is>
          <t>rate/Moths</t>
        </is>
      </c>
    </row>
    <row r="95">
      <c r="B95" s="27" t="inlineStr">
        <is>
          <t>First $2.5M</t>
        </is>
      </c>
      <c r="C95" s="27" t="n">
        <v>8.699999999999999</v>
      </c>
      <c r="G95" s="221" t="n">
        <v>2500000</v>
      </c>
      <c r="I95" s="211">
        <f>G95/1000*C95</f>
        <v/>
      </c>
    </row>
    <row r="96">
      <c r="B96" s="27" t="inlineStr">
        <is>
          <t>Second $2.5M</t>
        </is>
      </c>
      <c r="C96" s="27" t="n">
        <v>7.9</v>
      </c>
      <c r="G96" s="221" t="n">
        <v>2500000</v>
      </c>
      <c r="I96" s="211">
        <f>G96/1000*C96</f>
        <v/>
      </c>
    </row>
    <row r="97">
      <c r="B97" s="27" t="inlineStr">
        <is>
          <t>Third $2.5M</t>
        </is>
      </c>
      <c r="C97" s="27" t="n">
        <v>6.95</v>
      </c>
      <c r="G97" s="221" t="n">
        <v>2500000</v>
      </c>
      <c r="I97" s="211">
        <f>G97/1000*C97</f>
        <v/>
      </c>
    </row>
    <row r="98">
      <c r="B98" s="27" t="inlineStr">
        <is>
          <t>Subtotal</t>
        </is>
      </c>
      <c r="I98" s="211">
        <f>I95+I96+I97</f>
        <v/>
      </c>
    </row>
    <row r="99">
      <c r="B99" s="27" t="inlineStr">
        <is>
          <t>after 24 months</t>
        </is>
      </c>
      <c r="C99" s="27" t="n">
        <v>12</v>
      </c>
      <c r="I99" s="211">
        <f>I98*C99*0.01</f>
        <v/>
      </c>
    </row>
    <row r="100">
      <c r="B100" s="27" t="inlineStr">
        <is>
          <t>Grand Total for Bond</t>
        </is>
      </c>
      <c r="I100" s="211">
        <f>I98+I99</f>
        <v/>
      </c>
    </row>
    <row r="101">
      <c r="B101" s="27" t="inlineStr">
        <is>
          <t>Sell Price</t>
        </is>
      </c>
      <c r="I101" s="211">
        <f>I100/0.9</f>
        <v/>
      </c>
    </row>
    <row r="102">
      <c r="I102" s="211" t="n"/>
    </row>
    <row r="103">
      <c r="I103" s="211" t="n"/>
    </row>
    <row r="104">
      <c r="I104" s="211" t="n"/>
    </row>
    <row r="105">
      <c r="I105" s="211" t="n"/>
    </row>
    <row r="108">
      <c r="F108" s="21" t="n"/>
      <c r="G108" s="21" t="n"/>
    </row>
    <row r="109">
      <c r="F109" s="21" t="n"/>
      <c r="G109" s="77" t="n"/>
    </row>
    <row r="110">
      <c r="F110" s="21" t="n"/>
      <c r="G110" s="77" t="n"/>
    </row>
    <row r="111">
      <c r="F111" s="21" t="n"/>
      <c r="G111" s="77" t="n"/>
    </row>
    <row r="112">
      <c r="F112" s="21" t="n"/>
      <c r="G112" s="77" t="n"/>
    </row>
    <row r="113">
      <c r="F113" s="21" t="n"/>
      <c r="G113" s="77" t="n"/>
    </row>
  </sheetData>
  <mergeCells count="161">
    <mergeCell ref="M43:N43"/>
    <mergeCell ref="D84:E84"/>
    <mergeCell ref="G97:H97"/>
    <mergeCell ref="I26:J26"/>
    <mergeCell ref="K26:L26"/>
    <mergeCell ref="A55:O55"/>
    <mergeCell ref="K35:L35"/>
    <mergeCell ref="D77:E77"/>
    <mergeCell ref="M35:N35"/>
    <mergeCell ref="D86:E86"/>
    <mergeCell ref="I25:J25"/>
    <mergeCell ref="C41:D41"/>
    <mergeCell ref="A48:P48"/>
    <mergeCell ref="I4:N4"/>
    <mergeCell ref="C43:D43"/>
    <mergeCell ref="M25:N25"/>
    <mergeCell ref="D78:E78"/>
    <mergeCell ref="I42:J42"/>
    <mergeCell ref="C27:D27"/>
    <mergeCell ref="A44:O44"/>
    <mergeCell ref="K42:L42"/>
    <mergeCell ref="C36:D36"/>
    <mergeCell ref="M36:N36"/>
    <mergeCell ref="E27:F27"/>
    <mergeCell ref="E36:F36"/>
    <mergeCell ref="A23:E23"/>
    <mergeCell ref="G22:G23"/>
    <mergeCell ref="A51:O51"/>
    <mergeCell ref="D73:E73"/>
    <mergeCell ref="K28:L28"/>
    <mergeCell ref="C28:D28"/>
    <mergeCell ref="K37:L37"/>
    <mergeCell ref="D88:E88"/>
    <mergeCell ref="I30:J30"/>
    <mergeCell ref="K30:L30"/>
    <mergeCell ref="C30:D30"/>
    <mergeCell ref="D90:E90"/>
    <mergeCell ref="O4:O5"/>
    <mergeCell ref="A52:P52"/>
    <mergeCell ref="E38:F38"/>
    <mergeCell ref="G38:H38"/>
    <mergeCell ref="I14:K14"/>
    <mergeCell ref="I32:J32"/>
    <mergeCell ref="D76:E76"/>
    <mergeCell ref="K32:L32"/>
    <mergeCell ref="I41:J41"/>
    <mergeCell ref="A47:O47"/>
    <mergeCell ref="K41:L41"/>
    <mergeCell ref="A34:P34"/>
    <mergeCell ref="C40:D40"/>
    <mergeCell ref="E40:F40"/>
    <mergeCell ref="O22:O23"/>
    <mergeCell ref="D75:E75"/>
    <mergeCell ref="I43:J43"/>
    <mergeCell ref="K43:L43"/>
    <mergeCell ref="K27:L27"/>
    <mergeCell ref="M27:N27"/>
    <mergeCell ref="M41:N41"/>
    <mergeCell ref="A14:E14"/>
    <mergeCell ref="E26:F26"/>
    <mergeCell ref="G26:H26"/>
    <mergeCell ref="G35:H35"/>
    <mergeCell ref="I35:J35"/>
    <mergeCell ref="E25:F25"/>
    <mergeCell ref="G25:H25"/>
    <mergeCell ref="D89:E89"/>
    <mergeCell ref="C4:H4"/>
    <mergeCell ref="D79:E79"/>
    <mergeCell ref="K25:L25"/>
    <mergeCell ref="A1:P2"/>
    <mergeCell ref="G42:H42"/>
    <mergeCell ref="D81:E81"/>
    <mergeCell ref="M39:N39"/>
    <mergeCell ref="A56:O56"/>
    <mergeCell ref="E39:F39"/>
    <mergeCell ref="G39:H39"/>
    <mergeCell ref="K29:L29"/>
    <mergeCell ref="C29:D29"/>
    <mergeCell ref="E29:F29"/>
    <mergeCell ref="A33:O33"/>
    <mergeCell ref="G37:H37"/>
    <mergeCell ref="I37:J37"/>
    <mergeCell ref="K31:L31"/>
    <mergeCell ref="C31:D31"/>
    <mergeCell ref="K40:L40"/>
    <mergeCell ref="M31:N31"/>
    <mergeCell ref="E31:F31"/>
    <mergeCell ref="M40:N40"/>
    <mergeCell ref="D91:E91"/>
    <mergeCell ref="A53:O53"/>
    <mergeCell ref="A4:A5"/>
    <mergeCell ref="M37:N37"/>
    <mergeCell ref="A6:P6"/>
    <mergeCell ref="G95:H95"/>
    <mergeCell ref="D93:E93"/>
    <mergeCell ref="A16:P16"/>
    <mergeCell ref="A22:E22"/>
    <mergeCell ref="M26:N26"/>
    <mergeCell ref="D83:E83"/>
    <mergeCell ref="D92:E92"/>
    <mergeCell ref="C32:D32"/>
    <mergeCell ref="C38:D38"/>
    <mergeCell ref="B4:B5"/>
    <mergeCell ref="E32:F32"/>
    <mergeCell ref="M29:N29"/>
    <mergeCell ref="G32:H32"/>
    <mergeCell ref="E41:F41"/>
    <mergeCell ref="M38:N38"/>
    <mergeCell ref="G41:H41"/>
    <mergeCell ref="P4:P5"/>
    <mergeCell ref="A50:P50"/>
    <mergeCell ref="D85:E85"/>
    <mergeCell ref="A3:P3"/>
    <mergeCell ref="G96:H96"/>
    <mergeCell ref="E43:F43"/>
    <mergeCell ref="G43:H43"/>
    <mergeCell ref="C42:D42"/>
    <mergeCell ref="G27:H27"/>
    <mergeCell ref="E42:F42"/>
    <mergeCell ref="I27:J27"/>
    <mergeCell ref="G36:H36"/>
    <mergeCell ref="I36:J36"/>
    <mergeCell ref="D80:E80"/>
    <mergeCell ref="K36:L36"/>
    <mergeCell ref="C26:D26"/>
    <mergeCell ref="A45:P46"/>
    <mergeCell ref="C35:D35"/>
    <mergeCell ref="E35:F35"/>
    <mergeCell ref="A57:O57"/>
    <mergeCell ref="M22:M23"/>
    <mergeCell ref="C25:D25"/>
    <mergeCell ref="E28:F28"/>
    <mergeCell ref="G28:H28"/>
    <mergeCell ref="I28:J28"/>
    <mergeCell ref="A15:P15"/>
    <mergeCell ref="A24:P24"/>
    <mergeCell ref="M30:N30"/>
    <mergeCell ref="D87:E87"/>
    <mergeCell ref="E30:F30"/>
    <mergeCell ref="G30:H30"/>
    <mergeCell ref="I22:K23"/>
    <mergeCell ref="M28:N28"/>
    <mergeCell ref="M42:N42"/>
    <mergeCell ref="I39:J39"/>
    <mergeCell ref="A54:P54"/>
    <mergeCell ref="K39:L39"/>
    <mergeCell ref="C39:D39"/>
    <mergeCell ref="G29:H29"/>
    <mergeCell ref="D74:E74"/>
    <mergeCell ref="I29:J29"/>
    <mergeCell ref="I38:J38"/>
    <mergeCell ref="D82:E82"/>
    <mergeCell ref="K38:L38"/>
    <mergeCell ref="M32:N32"/>
    <mergeCell ref="A49:O49"/>
    <mergeCell ref="C37:D37"/>
    <mergeCell ref="E37:F37"/>
    <mergeCell ref="G31:H31"/>
    <mergeCell ref="I31:J31"/>
    <mergeCell ref="G40:H40"/>
    <mergeCell ref="I40:J40"/>
  </mergeCells>
  <dataValidations count="1">
    <dataValidation sqref="K84 O7:O13 O17:O21 O26:O32 O36:O43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portrait" paperSize="17" scale="72" fitToHeight="0" horizontalDpi="300" verticalDpi="300"/>
  <colBreaks count="1" manualBreakCount="1">
    <brk id="16" min="0" max="83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9"/>
  <sheetViews>
    <sheetView zoomScale="80" zoomScaleNormal="80" workbookViewId="0">
      <selection activeCell="A37" sqref="A37:P37"/>
    </sheetView>
  </sheetViews>
  <sheetFormatPr baseColWidth="8" defaultColWidth="9.140625" defaultRowHeight="15.75"/>
  <cols>
    <col width="9.140625" customWidth="1" style="27" min="1" max="1"/>
    <col width="44.85546875" customWidth="1" style="27" min="2" max="2"/>
    <col width="14.140625" customWidth="1" style="27" min="3" max="3"/>
    <col width="7.28515625" customWidth="1" style="27" min="4" max="4"/>
    <col width="9.42578125" customWidth="1" style="27" min="5" max="5"/>
    <col width="15.7109375" customWidth="1" style="27" min="6" max="6"/>
    <col width="19.140625" customWidth="1" style="27" min="7" max="7"/>
    <col width="15.28515625" customWidth="1" style="27" min="8" max="14"/>
    <col width="14.85546875" customWidth="1" style="27" min="15" max="15"/>
    <col width="22" customWidth="1" style="27" min="16" max="16"/>
    <col width="9.140625" customWidth="1" style="27" min="17" max="17"/>
    <col width="12.42578125" bestFit="1" customWidth="1" style="27" min="18" max="18"/>
    <col width="11.42578125" customWidth="1" style="27" min="19" max="19"/>
    <col width="15.5703125" bestFit="1" customWidth="1" style="27" min="20" max="20"/>
    <col width="12.85546875" customWidth="1" style="27" min="21" max="21"/>
    <col width="13.85546875" customWidth="1" style="27" min="22" max="22"/>
    <col width="11.85546875" customWidth="1" style="27" min="23" max="23"/>
    <col width="9.140625" customWidth="1" style="27" min="24" max="16384"/>
  </cols>
  <sheetData>
    <row r="1" ht="23.25" customHeight="1">
      <c r="A1" s="192">
        <f t="array" ref="A1">MID(CELL("filename",C1),FIND("]",CELL("filename",C1))+1,255)</f>
        <v/>
      </c>
      <c r="B1" s="193" t="n"/>
      <c r="C1" s="193" t="n"/>
      <c r="D1" s="193" t="n"/>
      <c r="E1" s="193" t="n"/>
      <c r="F1" s="193" t="n"/>
      <c r="G1" s="193" t="n"/>
      <c r="H1" s="193" t="n"/>
      <c r="I1" s="193" t="n"/>
      <c r="J1" s="193" t="n"/>
      <c r="K1" s="193" t="n"/>
      <c r="L1" s="193" t="n"/>
      <c r="M1" s="193" t="n"/>
      <c r="N1" s="193" t="n"/>
      <c r="O1" s="193" t="n"/>
      <c r="P1" s="194" t="n"/>
      <c r="R1" s="27">
        <f t="array" ref="R1">MID(CELL("filename",C1),FIND("]",CELL("filename",C1))+1,255)</f>
        <v/>
      </c>
    </row>
    <row r="2" ht="19.5" customHeight="1" thickBot="1">
      <c r="A2" s="195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7" t="n"/>
    </row>
    <row r="3" ht="19.5" customHeight="1" thickBot="1">
      <c r="A3" s="150" t="inlineStr">
        <is>
          <t>AINSWORTH LABOUR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9" t="n"/>
    </row>
    <row r="4" ht="19.5" customHeight="1" thickBot="1">
      <c r="A4" s="35" t="inlineStr">
        <is>
          <t>Item</t>
        </is>
      </c>
      <c r="B4" s="35" t="inlineStr">
        <is>
          <t>Task</t>
        </is>
      </c>
      <c r="C4" s="35" t="inlineStr">
        <is>
          <t>Regular Labour Rates</t>
        </is>
      </c>
      <c r="D4" s="198" t="n"/>
      <c r="E4" s="198" t="n"/>
      <c r="F4" s="198" t="n"/>
      <c r="G4" s="198" t="n"/>
      <c r="H4" s="199" t="n"/>
      <c r="I4" s="37" t="inlineStr">
        <is>
          <t>Premium Labour Rates</t>
        </is>
      </c>
      <c r="J4" s="198" t="n"/>
      <c r="K4" s="198" t="n"/>
      <c r="L4" s="198" t="n"/>
      <c r="M4" s="198" t="n"/>
      <c r="N4" s="199" t="n"/>
      <c r="O4" s="35" t="inlineStr">
        <is>
          <t>Margin</t>
        </is>
      </c>
      <c r="P4" s="222" t="inlineStr">
        <is>
          <t>Subtotal 3 - Sell Rate</t>
        </is>
      </c>
    </row>
    <row r="5" ht="57" customHeight="1" thickBot="1">
      <c r="A5" s="223" t="n"/>
      <c r="B5" s="223" t="n"/>
      <c r="C5" s="35" t="inlineStr">
        <is>
          <t># of techs</t>
        </is>
      </c>
      <c r="D5" s="35" t="inlineStr">
        <is>
          <t>Days/Units</t>
        </is>
      </c>
      <c r="E5" s="35" t="inlineStr">
        <is>
          <t>Regular Hours</t>
        </is>
      </c>
      <c r="F5" s="35" t="inlineStr">
        <is>
          <t>Total Regular Hours</t>
        </is>
      </c>
      <c r="G5" s="36" t="inlineStr">
        <is>
          <t>Regular Labour Rate</t>
        </is>
      </c>
      <c r="H5" s="36" t="inlineStr">
        <is>
          <t>Subtotal 1</t>
        </is>
      </c>
      <c r="I5" s="37" t="inlineStr">
        <is>
          <t># of techs</t>
        </is>
      </c>
      <c r="J5" s="37" t="inlineStr">
        <is>
          <t>Days/Units</t>
        </is>
      </c>
      <c r="K5" s="37" t="inlineStr">
        <is>
          <t>O/T Hours</t>
        </is>
      </c>
      <c r="L5" s="37" t="inlineStr">
        <is>
          <t>Total O/T Hours</t>
        </is>
      </c>
      <c r="M5" s="38" t="inlineStr">
        <is>
          <t>O/T Labour Rate</t>
        </is>
      </c>
      <c r="N5" s="37" t="inlineStr">
        <is>
          <t>Subtotal 2</t>
        </is>
      </c>
      <c r="O5" s="223" t="n"/>
      <c r="P5" s="223" t="n"/>
    </row>
    <row r="6" ht="34.5" customHeight="1" thickBot="1">
      <c r="A6" s="150" t="inlineStr">
        <is>
          <t>Project Management</t>
        </is>
      </c>
      <c r="B6" s="198" t="n"/>
      <c r="C6" s="198" t="n"/>
      <c r="D6" s="198" t="n"/>
      <c r="E6" s="198" t="n"/>
      <c r="F6" s="198" t="n"/>
      <c r="G6" s="198" t="n"/>
      <c r="H6" s="198" t="n"/>
      <c r="I6" s="198" t="n"/>
      <c r="J6" s="198" t="n"/>
      <c r="K6" s="198" t="n"/>
      <c r="L6" s="198" t="n"/>
      <c r="M6" s="198" t="n"/>
      <c r="N6" s="198" t="n"/>
      <c r="O6" s="198" t="n"/>
      <c r="P6" s="199" t="n"/>
      <c r="T6" s="211">
        <f>(P25+P36+P62)*0.05</f>
        <v/>
      </c>
    </row>
    <row r="7" ht="16.5" customHeight="1" thickTop="1">
      <c r="A7" s="156" t="n">
        <v>1</v>
      </c>
      <c r="B7" s="24" t="inlineStr">
        <is>
          <t>Engineering/Meetings</t>
        </is>
      </c>
      <c r="C7" s="13" t="n">
        <v>0</v>
      </c>
      <c r="D7" s="13" t="n">
        <v>0</v>
      </c>
      <c r="E7" s="13" t="n"/>
      <c r="F7" s="13">
        <f>C7*D7*E7</f>
        <v/>
      </c>
      <c r="G7" s="39" t="n">
        <v>90</v>
      </c>
      <c r="H7" s="40">
        <f>F7*G7</f>
        <v/>
      </c>
      <c r="I7" s="41" t="n"/>
      <c r="J7" s="42" t="n"/>
      <c r="K7" s="42" t="n"/>
      <c r="L7" s="42">
        <f>I7*J7*K7</f>
        <v/>
      </c>
      <c r="M7" s="43" t="n">
        <v>150</v>
      </c>
      <c r="N7" s="44">
        <f>L7*M7</f>
        <v/>
      </c>
      <c r="O7" s="5" t="n">
        <v>0.85</v>
      </c>
      <c r="P7" s="45">
        <f>H7/O7+N7/O7</f>
        <v/>
      </c>
      <c r="R7" s="29" t="n"/>
    </row>
    <row r="8">
      <c r="A8" s="156" t="n">
        <v>2</v>
      </c>
      <c r="B8" s="4" t="inlineStr">
        <is>
          <t>Project Management</t>
        </is>
      </c>
      <c r="C8" s="13" t="n">
        <v>0.05</v>
      </c>
      <c r="D8" s="13" t="n">
        <v>1</v>
      </c>
      <c r="E8" s="13" t="n">
        <v>1</v>
      </c>
      <c r="F8" s="13">
        <f>C8*D8*E8</f>
        <v/>
      </c>
      <c r="G8" s="39">
        <f>(P25+P36+P62)</f>
        <v/>
      </c>
      <c r="H8" s="46">
        <f>F8*G8</f>
        <v/>
      </c>
      <c r="I8" s="47" t="n"/>
      <c r="J8" s="48" t="n"/>
      <c r="K8" s="48" t="n"/>
      <c r="L8" s="48">
        <f>I8*J8*K8</f>
        <v/>
      </c>
      <c r="M8" s="39" t="n">
        <v>150</v>
      </c>
      <c r="N8" s="46">
        <f>L8*M8</f>
        <v/>
      </c>
      <c r="O8" s="5" t="n">
        <v>0.85</v>
      </c>
      <c r="P8" s="49">
        <f>H8/O8+N8/O8</f>
        <v/>
      </c>
    </row>
    <row r="9">
      <c r="A9" s="156" t="n">
        <v>3</v>
      </c>
      <c r="B9" s="4" t="inlineStr">
        <is>
          <t>ESA Submissions</t>
        </is>
      </c>
      <c r="C9" s="13" t="n"/>
      <c r="D9" s="13" t="n"/>
      <c r="E9" s="13" t="n"/>
      <c r="F9" s="13">
        <f>C9*D9*E9</f>
        <v/>
      </c>
      <c r="G9" s="39" t="n">
        <v>2000</v>
      </c>
      <c r="H9" s="46">
        <f>F9*G9</f>
        <v/>
      </c>
      <c r="I9" s="47" t="n"/>
      <c r="J9" s="48" t="n"/>
      <c r="K9" s="48" t="n"/>
      <c r="L9" s="48">
        <f>I9*J9*K9</f>
        <v/>
      </c>
      <c r="M9" s="39" t="n">
        <v>0</v>
      </c>
      <c r="N9" s="46">
        <f>L9*M9</f>
        <v/>
      </c>
      <c r="O9" s="5" t="n">
        <v>0.85</v>
      </c>
      <c r="P9" s="50">
        <f>H9/O9+N9/O9</f>
        <v/>
      </c>
    </row>
    <row r="10">
      <c r="A10" s="156" t="n">
        <v>4</v>
      </c>
      <c r="B10" s="4" t="inlineStr">
        <is>
          <t>Misc. Subcontractors</t>
        </is>
      </c>
      <c r="C10" s="13" t="n">
        <v>0.05</v>
      </c>
      <c r="D10" s="13" t="n">
        <v>1</v>
      </c>
      <c r="E10" s="13" t="n">
        <v>1</v>
      </c>
      <c r="F10" s="13">
        <f>C10*D10*E10</f>
        <v/>
      </c>
      <c r="G10" s="39">
        <f>P36</f>
        <v/>
      </c>
      <c r="H10" s="46">
        <f>F10*G10</f>
        <v/>
      </c>
      <c r="I10" s="47" t="n"/>
      <c r="J10" s="48" t="n"/>
      <c r="K10" s="48" t="n"/>
      <c r="L10" s="48">
        <f>I10*J10*K10</f>
        <v/>
      </c>
      <c r="M10" s="39" t="n">
        <v>150</v>
      </c>
      <c r="N10" s="46">
        <f>L10*M10</f>
        <v/>
      </c>
      <c r="O10" s="5" t="n">
        <v>0.85</v>
      </c>
      <c r="P10" s="50">
        <f>H10/O10+N10/O10</f>
        <v/>
      </c>
    </row>
    <row r="11">
      <c r="A11" s="156" t="n">
        <v>5</v>
      </c>
      <c r="B11" s="4" t="inlineStr">
        <is>
          <t>Misc. Materials</t>
        </is>
      </c>
      <c r="C11" s="13" t="n">
        <v>0.05</v>
      </c>
      <c r="D11" s="13" t="n">
        <v>1</v>
      </c>
      <c r="E11" s="13" t="n">
        <v>1</v>
      </c>
      <c r="F11" s="13">
        <f>C11*D11*E11</f>
        <v/>
      </c>
      <c r="G11" s="39">
        <f>P62</f>
        <v/>
      </c>
      <c r="H11" s="46">
        <f>F11*G11</f>
        <v/>
      </c>
      <c r="I11" s="47" t="n"/>
      <c r="J11" s="48" t="n"/>
      <c r="K11" s="48" t="n"/>
      <c r="L11" s="48">
        <f>I11*J11*K11</f>
        <v/>
      </c>
      <c r="M11" s="39" t="n">
        <v>150</v>
      </c>
      <c r="N11" s="46">
        <f>L11*M11</f>
        <v/>
      </c>
      <c r="O11" s="5" t="n">
        <v>0.85</v>
      </c>
      <c r="P11" s="50">
        <f>H11/O11+N11/O11</f>
        <v/>
      </c>
    </row>
    <row r="12">
      <c r="A12" s="156" t="n">
        <v>6</v>
      </c>
      <c r="B12" s="4" t="inlineStr">
        <is>
          <t>Forman - site supervision and civil</t>
        </is>
      </c>
      <c r="C12" s="13" t="n"/>
      <c r="D12" s="13" t="n"/>
      <c r="E12" s="13" t="n"/>
      <c r="F12" s="13">
        <f>C12*D12*E12</f>
        <v/>
      </c>
      <c r="G12" s="39" t="n">
        <v>92</v>
      </c>
      <c r="H12" s="46">
        <f>F12*G12</f>
        <v/>
      </c>
      <c r="I12" s="47" t="n"/>
      <c r="J12" s="48" t="n"/>
      <c r="K12" s="48" t="n"/>
      <c r="L12" s="48">
        <f>I12*J12*K12</f>
        <v/>
      </c>
      <c r="M12" s="39" t="n">
        <v>150</v>
      </c>
      <c r="N12" s="46">
        <f>L12*M12</f>
        <v/>
      </c>
      <c r="O12" s="5" t="n">
        <v>0.85</v>
      </c>
      <c r="P12" s="50">
        <f>H12/O12+N12/O12</f>
        <v/>
      </c>
    </row>
    <row r="13">
      <c r="A13" s="156" t="n">
        <v>7</v>
      </c>
      <c r="B13" s="4" t="inlineStr">
        <is>
          <t>Lodging</t>
        </is>
      </c>
      <c r="C13" s="13" t="n">
        <v>1</v>
      </c>
      <c r="D13" s="13" t="n">
        <v>1</v>
      </c>
      <c r="E13" s="13" t="n">
        <v>1</v>
      </c>
      <c r="F13" s="13">
        <f>C13*D13*E13</f>
        <v/>
      </c>
      <c r="G13" s="39" t="n">
        <v>0</v>
      </c>
      <c r="H13" s="46">
        <f>F13*G13</f>
        <v/>
      </c>
      <c r="I13" s="47" t="n"/>
      <c r="J13" s="48" t="n"/>
      <c r="K13" s="48" t="n"/>
      <c r="L13" s="48">
        <f>I13*J13*K13</f>
        <v/>
      </c>
      <c r="M13" s="39" t="n">
        <v>175</v>
      </c>
      <c r="N13" s="46">
        <f>L13*M13</f>
        <v/>
      </c>
      <c r="O13" s="5" t="n">
        <v>0.85</v>
      </c>
      <c r="P13" s="50">
        <f>H13/O13+N13/O13</f>
        <v/>
      </c>
    </row>
    <row r="14" ht="15.75" customFormat="1" customHeight="1" s="21" thickBot="1">
      <c r="A14" s="151" t="inlineStr">
        <is>
          <t>Total Management</t>
        </is>
      </c>
      <c r="B14" s="200" t="n"/>
      <c r="C14" s="200" t="n"/>
      <c r="D14" s="200" t="n"/>
      <c r="E14" s="201" t="n"/>
      <c r="F14" s="8">
        <f>SUM(F7:F13)</f>
        <v/>
      </c>
      <c r="G14" s="8" t="n"/>
      <c r="H14" s="51">
        <f>SUM(H7:H13)</f>
        <v/>
      </c>
      <c r="I14" s="224" t="n"/>
      <c r="J14" s="225" t="n"/>
      <c r="K14" s="226" t="n"/>
      <c r="L14" s="52">
        <f>SUM(L7:L13)</f>
        <v/>
      </c>
      <c r="M14" s="53" t="n"/>
      <c r="N14" s="54">
        <f>SUM(N7:N13)</f>
        <v/>
      </c>
      <c r="O14" s="55" t="n"/>
      <c r="P14" s="56">
        <f>SUM(P7:P13)</f>
        <v/>
      </c>
    </row>
    <row r="15" ht="16.5" customHeight="1" thickTop="1">
      <c r="A15" s="155" t="n"/>
      <c r="B15" s="200" t="n"/>
      <c r="C15" s="200" t="n"/>
      <c r="D15" s="200" t="n"/>
      <c r="E15" s="200" t="n"/>
      <c r="F15" s="200" t="n"/>
      <c r="G15" s="200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1" t="n"/>
    </row>
    <row r="16" ht="16.5" customHeight="1" thickBot="1">
      <c r="A16" s="151" t="inlineStr">
        <is>
          <t>Labour</t>
        </is>
      </c>
      <c r="B16" s="200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0" t="n"/>
      <c r="M16" s="200" t="n"/>
      <c r="N16" s="200" t="n"/>
      <c r="O16" s="200" t="n"/>
      <c r="P16" s="201" t="n"/>
    </row>
    <row r="17" ht="16.5" customHeight="1" thickTop="1">
      <c r="A17" s="155" t="n">
        <v>1</v>
      </c>
      <c r="B17" s="31" t="inlineStr">
        <is>
          <t>Mob/demob</t>
        </is>
      </c>
      <c r="C17" s="5" t="n"/>
      <c r="D17" s="5" t="n"/>
      <c r="E17" s="5" t="n"/>
      <c r="F17" s="5">
        <f>C17*D17*E17</f>
        <v/>
      </c>
      <c r="G17" s="57" t="n">
        <v>108</v>
      </c>
      <c r="H17" s="58">
        <f>F17*G17</f>
        <v/>
      </c>
      <c r="I17" s="41" t="n"/>
      <c r="J17" s="42" t="n"/>
      <c r="K17" s="42" t="n"/>
      <c r="L17" s="42">
        <f>I17*J17*K17</f>
        <v/>
      </c>
      <c r="M17" s="43" t="n">
        <v>195</v>
      </c>
      <c r="N17" s="44">
        <f>L17*M17</f>
        <v/>
      </c>
      <c r="O17" s="5" t="n">
        <v>0.85</v>
      </c>
      <c r="P17" s="45">
        <f>H17/O17+N17/O17</f>
        <v/>
      </c>
    </row>
    <row r="18">
      <c r="A18" s="155" t="n">
        <v>2</v>
      </c>
      <c r="B18" s="31" t="inlineStr">
        <is>
          <t>install</t>
        </is>
      </c>
      <c r="C18" s="5" t="n"/>
      <c r="D18" s="5" t="n"/>
      <c r="E18" s="5" t="n"/>
      <c r="F18" s="5">
        <f>C18*D18*E18</f>
        <v/>
      </c>
      <c r="G18" s="57" t="n">
        <v>108</v>
      </c>
      <c r="H18" s="58">
        <f>F18*G18</f>
        <v/>
      </c>
      <c r="I18" s="59" t="n"/>
      <c r="J18" s="60" t="n"/>
      <c r="K18" s="60" t="n"/>
      <c r="L18" s="60">
        <f>I18*J18*K18</f>
        <v/>
      </c>
      <c r="M18" s="57" t="n">
        <v>195</v>
      </c>
      <c r="N18" s="61">
        <f>L18*M18</f>
        <v/>
      </c>
      <c r="O18" s="5" t="n">
        <v>0.85</v>
      </c>
      <c r="P18" s="49">
        <f>H18/O18+N18/O18</f>
        <v/>
      </c>
      <c r="U18" s="62" t="n"/>
    </row>
    <row r="19">
      <c r="A19" s="155" t="n">
        <v>3</v>
      </c>
      <c r="B19" s="18" t="inlineStr">
        <is>
          <t>assist</t>
        </is>
      </c>
      <c r="C19" s="5" t="n"/>
      <c r="D19" s="5" t="n"/>
      <c r="E19" s="5" t="n"/>
      <c r="F19" s="5">
        <f>C19*D19*E19</f>
        <v/>
      </c>
      <c r="G19" s="57" t="n">
        <v>108</v>
      </c>
      <c r="H19" s="58">
        <f>F19*G19</f>
        <v/>
      </c>
      <c r="I19" s="59" t="n"/>
      <c r="J19" s="60" t="n"/>
      <c r="K19" s="60" t="n"/>
      <c r="L19" s="60">
        <f>I19*J19*K19</f>
        <v/>
      </c>
      <c r="M19" s="57" t="n">
        <v>195</v>
      </c>
      <c r="N19" s="61">
        <f>L19*M19</f>
        <v/>
      </c>
      <c r="O19" s="5" t="n">
        <v>0.85</v>
      </c>
      <c r="P19" s="49">
        <f>H19/O19+N19/O19</f>
        <v/>
      </c>
      <c r="R19" s="211" t="n"/>
      <c r="U19" s="62" t="n"/>
    </row>
    <row r="20">
      <c r="A20" s="155" t="n">
        <v>4</v>
      </c>
      <c r="B20" s="18" t="n"/>
      <c r="C20" s="5" t="n"/>
      <c r="D20" s="5" t="n"/>
      <c r="E20" s="5" t="n"/>
      <c r="F20" s="5">
        <f>C20*D20*E20</f>
        <v/>
      </c>
      <c r="G20" s="57" t="n">
        <v>108</v>
      </c>
      <c r="H20" s="58">
        <f>F20*G20</f>
        <v/>
      </c>
      <c r="I20" s="59" t="n"/>
      <c r="J20" s="60" t="n"/>
      <c r="K20" s="60" t="n"/>
      <c r="L20" s="60">
        <f>I20*J20*K20</f>
        <v/>
      </c>
      <c r="M20" s="57" t="n">
        <v>195</v>
      </c>
      <c r="N20" s="61">
        <f>L20*M20</f>
        <v/>
      </c>
      <c r="O20" s="5" t="n">
        <v>0.85</v>
      </c>
      <c r="P20" s="49">
        <f>H20/O20+N20/O20</f>
        <v/>
      </c>
      <c r="U20" s="62" t="n"/>
    </row>
    <row r="21">
      <c r="A21" s="155" t="n">
        <v>5</v>
      </c>
      <c r="B21" s="18" t="n"/>
      <c r="C21" s="5" t="n"/>
      <c r="D21" s="5" t="n"/>
      <c r="E21" s="5" t="n"/>
      <c r="F21" s="5">
        <f>C21*D21*E21</f>
        <v/>
      </c>
      <c r="G21" s="57" t="n">
        <v>108</v>
      </c>
      <c r="H21" s="58">
        <f>F21*G21</f>
        <v/>
      </c>
      <c r="I21" s="59" t="n"/>
      <c r="J21" s="60" t="n"/>
      <c r="K21" s="60" t="n"/>
      <c r="L21" s="60">
        <f>I21*J21*K21</f>
        <v/>
      </c>
      <c r="M21" s="57" t="n">
        <v>195</v>
      </c>
      <c r="N21" s="61">
        <f>L21*M21</f>
        <v/>
      </c>
      <c r="O21" s="5" t="n">
        <v>0.85</v>
      </c>
      <c r="P21" s="49">
        <f>H21/O21+N21/O21</f>
        <v/>
      </c>
    </row>
    <row r="22">
      <c r="A22" s="155" t="n">
        <v>6</v>
      </c>
      <c r="B22" s="18" t="n"/>
      <c r="C22" s="5" t="n"/>
      <c r="D22" s="5" t="n"/>
      <c r="E22" s="5" t="n"/>
      <c r="F22" s="5">
        <f>C22*D22*E22</f>
        <v/>
      </c>
      <c r="G22" s="57" t="n">
        <v>108</v>
      </c>
      <c r="H22" s="58">
        <f>F22*G22</f>
        <v/>
      </c>
      <c r="I22" s="59" t="n"/>
      <c r="J22" s="60" t="n"/>
      <c r="K22" s="60" t="n"/>
      <c r="L22" s="60">
        <f>I22*J22*K22</f>
        <v/>
      </c>
      <c r="M22" s="57" t="n">
        <v>195</v>
      </c>
      <c r="N22" s="61">
        <f>L22*M22</f>
        <v/>
      </c>
      <c r="O22" s="5" t="n">
        <v>0.85</v>
      </c>
      <c r="P22" s="49">
        <f>H22/O22+N22/O22</f>
        <v/>
      </c>
    </row>
    <row r="23">
      <c r="A23" s="155" t="n">
        <v>7</v>
      </c>
      <c r="B23" s="18" t="n"/>
      <c r="C23" s="5" t="n"/>
      <c r="D23" s="5" t="n"/>
      <c r="E23" s="5" t="n"/>
      <c r="F23" s="5">
        <f>C23*D23*E23</f>
        <v/>
      </c>
      <c r="G23" s="57" t="n">
        <v>108</v>
      </c>
      <c r="H23" s="58">
        <f>F23*G23</f>
        <v/>
      </c>
      <c r="I23" s="59" t="n"/>
      <c r="J23" s="60" t="n"/>
      <c r="K23" s="60" t="n"/>
      <c r="L23" s="60">
        <f>I23*J23*K23</f>
        <v/>
      </c>
      <c r="M23" s="57" t="n">
        <v>195</v>
      </c>
      <c r="N23" s="61">
        <f>L23*M23</f>
        <v/>
      </c>
      <c r="O23" s="5" t="n">
        <v>0.85</v>
      </c>
      <c r="P23" s="49">
        <f>H23/O23+N23/O23</f>
        <v/>
      </c>
    </row>
    <row r="24">
      <c r="A24" s="155" t="n">
        <v>8</v>
      </c>
      <c r="B24" s="18" t="n"/>
      <c r="C24" s="5" t="n"/>
      <c r="D24" s="5" t="n"/>
      <c r="E24" s="5" t="n"/>
      <c r="F24" s="5">
        <f>C24*D24*E24</f>
        <v/>
      </c>
      <c r="G24" s="57" t="n">
        <v>108</v>
      </c>
      <c r="H24" s="58">
        <f>F24*G24</f>
        <v/>
      </c>
      <c r="I24" s="59" t="n"/>
      <c r="J24" s="60" t="n"/>
      <c r="K24" s="60" t="n"/>
      <c r="L24" s="60">
        <f>I24*J24*K24</f>
        <v/>
      </c>
      <c r="M24" s="57" t="n">
        <v>195</v>
      </c>
      <c r="N24" s="61">
        <f>L24*M24</f>
        <v/>
      </c>
      <c r="O24" s="5" t="n">
        <v>0.85</v>
      </c>
      <c r="P24" s="49">
        <f>H24/O24+N24/O24</f>
        <v/>
      </c>
    </row>
    <row r="25" ht="15.75" customHeight="1">
      <c r="A25" s="151" t="inlineStr">
        <is>
          <t>Sub Total Labour</t>
        </is>
      </c>
      <c r="B25" s="200" t="n"/>
      <c r="C25" s="200" t="n"/>
      <c r="D25" s="200" t="n"/>
      <c r="E25" s="201" t="n"/>
      <c r="F25" s="8">
        <f>SUM(F17:F24)</f>
        <v/>
      </c>
      <c r="G25" s="8" t="n"/>
      <c r="H25" s="64">
        <f>SUM(H17:H24)</f>
        <v/>
      </c>
      <c r="I25" s="227" t="n"/>
      <c r="J25" s="202" t="n"/>
      <c r="K25" s="203" t="n"/>
      <c r="L25" s="65">
        <f>SUM(L17:L24)</f>
        <v/>
      </c>
      <c r="M25" s="53" t="n"/>
      <c r="N25" s="66">
        <f>SUM(N17:N24)</f>
        <v/>
      </c>
      <c r="O25" s="228" t="n"/>
      <c r="P25" s="67">
        <f>SUM(P17:P24)</f>
        <v/>
      </c>
      <c r="S25" s="22" t="n"/>
      <c r="T25" s="22" t="n"/>
    </row>
    <row r="26" ht="15.75" customFormat="1" customHeight="1" s="21" thickBot="1">
      <c r="A26" s="151" t="inlineStr">
        <is>
          <t>Subtotal Labour</t>
        </is>
      </c>
      <c r="B26" s="200" t="n"/>
      <c r="C26" s="200" t="n"/>
      <c r="D26" s="200" t="n"/>
      <c r="E26" s="201" t="n"/>
      <c r="F26" s="8">
        <f>F14+F25</f>
        <v/>
      </c>
      <c r="G26" s="229" t="n"/>
      <c r="H26" s="64">
        <f>H14+H25</f>
        <v/>
      </c>
      <c r="I26" s="230" t="n"/>
      <c r="J26" s="231" t="n"/>
      <c r="K26" s="232" t="n"/>
      <c r="L26" s="52">
        <f>L14+L25</f>
        <v/>
      </c>
      <c r="M26" s="233" t="n"/>
      <c r="N26" s="68">
        <f>N14+N25</f>
        <v/>
      </c>
      <c r="O26" s="205" t="n"/>
      <c r="P26" s="56">
        <f>P14+P25</f>
        <v/>
      </c>
      <c r="S26" s="22" t="n"/>
      <c r="T26" s="22" t="n"/>
    </row>
    <row r="27" ht="34.5" customFormat="1" customHeight="1" s="21" thickBot="1" thickTop="1">
      <c r="A27" s="147" t="inlineStr">
        <is>
          <t>Subcontractors</t>
        </is>
      </c>
      <c r="B27" s="202" t="n"/>
      <c r="C27" s="202" t="n"/>
      <c r="D27" s="202" t="n"/>
      <c r="E27" s="202" t="n"/>
      <c r="F27" s="202" t="n"/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S27" s="22" t="n"/>
      <c r="T27" s="22" t="n"/>
      <c r="U27" s="22" t="n"/>
      <c r="V27" s="22" t="n"/>
      <c r="W27" s="22" t="n"/>
    </row>
    <row r="28" ht="19.5" customFormat="1" customHeight="1" s="21" thickBot="1">
      <c r="A28" s="69" t="inlineStr">
        <is>
          <t>Item</t>
        </is>
      </c>
      <c r="B28" s="69" t="inlineStr">
        <is>
          <t>Task</t>
        </is>
      </c>
      <c r="C28" s="35" t="inlineStr">
        <is>
          <t>Surcharge</t>
        </is>
      </c>
      <c r="D28" s="199" t="n"/>
      <c r="E28" s="35" t="inlineStr">
        <is>
          <t>Days/Units</t>
        </is>
      </c>
      <c r="F28" s="199" t="n"/>
      <c r="G28" s="36" t="inlineStr">
        <is>
          <t>Other</t>
        </is>
      </c>
      <c r="H28" s="199" t="n"/>
      <c r="I28" s="36" t="inlineStr">
        <is>
          <t>Total Surcharge</t>
        </is>
      </c>
      <c r="J28" s="199" t="n"/>
      <c r="K28" s="36" t="inlineStr">
        <is>
          <t>Unit Price</t>
        </is>
      </c>
      <c r="L28" s="199" t="n"/>
      <c r="M28" s="36" t="inlineStr">
        <is>
          <t>Subtotal 1</t>
        </is>
      </c>
      <c r="N28" s="199" t="n"/>
      <c r="O28" s="35" t="inlineStr">
        <is>
          <t>Margin</t>
        </is>
      </c>
      <c r="P28" s="186" t="inlineStr">
        <is>
          <t>Subtotal 2</t>
        </is>
      </c>
      <c r="S28" s="22" t="n"/>
      <c r="T28" s="22" t="n"/>
      <c r="U28" s="22" t="n"/>
      <c r="V28" s="22" t="n"/>
      <c r="W28" s="22" t="n"/>
    </row>
    <row r="29" ht="16.5" customFormat="1" customHeight="1" s="21" thickTop="1">
      <c r="A29" s="13" t="n">
        <v>1</v>
      </c>
      <c r="B29" s="14" t="inlineStr">
        <is>
          <t>MG Power and Associates Inc</t>
        </is>
      </c>
      <c r="C29" s="234" t="n"/>
      <c r="D29" s="235" t="n"/>
      <c r="E29" s="234" t="n"/>
      <c r="F29" s="235" t="n"/>
      <c r="G29" s="234" t="n"/>
      <c r="H29" s="235" t="n"/>
      <c r="I29" s="236">
        <f>C29*E29*G29</f>
        <v/>
      </c>
      <c r="J29" s="220" t="n"/>
      <c r="K29" s="237" t="n"/>
      <c r="L29" s="235" t="n"/>
      <c r="M29" s="238">
        <f>K29*I29</f>
        <v/>
      </c>
      <c r="N29" s="220" t="n"/>
      <c r="O29" s="5" t="n">
        <v>0.85</v>
      </c>
      <c r="P29" s="45">
        <f>M29/O29</f>
        <v/>
      </c>
      <c r="S29" s="22" t="n"/>
      <c r="T29" s="22" t="n"/>
      <c r="U29" s="22" t="n"/>
      <c r="V29" s="22" t="n"/>
      <c r="W29" s="22" t="n"/>
    </row>
    <row r="30" customFormat="1" s="21">
      <c r="A30" s="5" t="n">
        <v>2</v>
      </c>
      <c r="B30" s="18" t="inlineStr">
        <is>
          <t xml:space="preserve">parking </t>
        </is>
      </c>
      <c r="C30" s="5" t="n"/>
      <c r="D30" s="201" t="n"/>
      <c r="E30" s="5" t="n"/>
      <c r="F30" s="201" t="n"/>
      <c r="G30" s="5" t="n"/>
      <c r="H30" s="201" t="n"/>
      <c r="I30" s="5">
        <f>C30*E30*G30</f>
        <v/>
      </c>
      <c r="J30" s="201" t="n"/>
      <c r="K30" s="239" t="n"/>
      <c r="L30" s="201" t="n"/>
      <c r="M30" s="121">
        <f>K30*I30</f>
        <v/>
      </c>
      <c r="N30" s="201" t="n"/>
      <c r="O30" s="5" t="n">
        <v>0.85</v>
      </c>
      <c r="P30" s="50">
        <f>M30/O30</f>
        <v/>
      </c>
      <c r="S30" s="22" t="n"/>
      <c r="T30" s="22" t="n"/>
      <c r="U30" s="22" t="n"/>
      <c r="V30" s="22" t="n"/>
      <c r="W30" s="22" t="n"/>
    </row>
    <row r="31" customFormat="1" s="21">
      <c r="A31" s="5" t="n">
        <v>3</v>
      </c>
      <c r="B31" s="18" t="inlineStr">
        <is>
          <t>Millwrighting</t>
        </is>
      </c>
      <c r="C31" s="5" t="n"/>
      <c r="D31" s="201" t="n"/>
      <c r="E31" s="5" t="n"/>
      <c r="F31" s="201" t="n"/>
      <c r="G31" s="5" t="n"/>
      <c r="H31" s="201" t="n"/>
      <c r="I31" s="5">
        <f>C31*E31*G31</f>
        <v/>
      </c>
      <c r="J31" s="201" t="n"/>
      <c r="K31" s="239" t="n"/>
      <c r="L31" s="201" t="n"/>
      <c r="M31" s="121">
        <f>K31*I31</f>
        <v/>
      </c>
      <c r="N31" s="201" t="n"/>
      <c r="O31" s="5" t="n">
        <v>0.85</v>
      </c>
      <c r="P31" s="50">
        <f>M31/O31</f>
        <v/>
      </c>
      <c r="S31" s="22" t="n"/>
      <c r="T31" s="22" t="n"/>
      <c r="U31" s="22" t="n"/>
      <c r="V31" s="22" t="n"/>
      <c r="W31" s="22" t="n"/>
    </row>
    <row r="32" customFormat="1" s="21">
      <c r="A32" s="5" t="n">
        <v>4</v>
      </c>
      <c r="B32" s="18" t="inlineStr">
        <is>
          <t>Temp Door</t>
        </is>
      </c>
      <c r="C32" s="5" t="n"/>
      <c r="D32" s="201" t="n"/>
      <c r="E32" s="5" t="n"/>
      <c r="F32" s="201" t="n"/>
      <c r="G32" s="5" t="n"/>
      <c r="H32" s="201" t="n"/>
      <c r="I32" s="5">
        <f>C32*E32*G32</f>
        <v/>
      </c>
      <c r="J32" s="201" t="n"/>
      <c r="K32" s="239" t="n"/>
      <c r="L32" s="201" t="n"/>
      <c r="M32" s="121">
        <f>K32*I32</f>
        <v/>
      </c>
      <c r="N32" s="201" t="n"/>
      <c r="O32" s="5" t="n">
        <v>0.85</v>
      </c>
      <c r="P32" s="50">
        <f>M32/O32</f>
        <v/>
      </c>
      <c r="S32" s="22" t="n"/>
      <c r="T32" s="22" t="n"/>
      <c r="U32" s="22" t="n"/>
      <c r="V32" s="22" t="n"/>
      <c r="W32" s="22" t="n"/>
    </row>
    <row r="33" customFormat="1" s="21">
      <c r="A33" s="5" t="n">
        <v>5</v>
      </c>
      <c r="B33" s="18" t="inlineStr">
        <is>
          <t>Bonding Costs</t>
        </is>
      </c>
      <c r="C33" s="5" t="n"/>
      <c r="D33" s="201" t="n"/>
      <c r="E33" s="5" t="n"/>
      <c r="F33" s="201" t="n"/>
      <c r="G33" s="5" t="n"/>
      <c r="H33" s="201" t="n"/>
      <c r="I33" s="5">
        <f>C33*E33*G33</f>
        <v/>
      </c>
      <c r="J33" s="201" t="n"/>
      <c r="K33" s="239" t="n"/>
      <c r="L33" s="201" t="n"/>
      <c r="M33" s="121">
        <f>K33*I33</f>
        <v/>
      </c>
      <c r="N33" s="201" t="n"/>
      <c r="O33" s="5" t="n">
        <v>0.85</v>
      </c>
      <c r="P33" s="50">
        <f>M33/O33</f>
        <v/>
      </c>
      <c r="S33" s="22" t="n"/>
      <c r="T33" s="22" t="n"/>
      <c r="U33" s="22" t="n"/>
      <c r="V33" s="22" t="n"/>
      <c r="W33" s="22" t="n"/>
    </row>
    <row r="34" customFormat="1" s="21">
      <c r="A34" s="5" t="n"/>
      <c r="B34" s="18" t="n"/>
      <c r="C34" s="5" t="n"/>
      <c r="D34" s="201" t="n"/>
      <c r="E34" s="5" t="n"/>
      <c r="F34" s="201" t="n"/>
      <c r="G34" s="5" t="n"/>
      <c r="H34" s="201" t="n"/>
      <c r="I34" s="5">
        <f>C34*E34*G34</f>
        <v/>
      </c>
      <c r="J34" s="201" t="n"/>
      <c r="K34" s="239" t="n"/>
      <c r="L34" s="201" t="n"/>
      <c r="M34" s="121">
        <f>K34*I34</f>
        <v/>
      </c>
      <c r="N34" s="201" t="n"/>
      <c r="O34" s="5" t="n">
        <v>0.85</v>
      </c>
      <c r="P34" s="50">
        <f>M34/O34</f>
        <v/>
      </c>
      <c r="S34" s="22" t="n"/>
      <c r="T34" s="22" t="n"/>
      <c r="U34" s="22" t="n"/>
      <c r="V34" s="22" t="n"/>
      <c r="W34" s="22" t="n"/>
    </row>
    <row r="35" customFormat="1" s="21">
      <c r="A35" s="5" t="n"/>
      <c r="B35" s="18" t="n"/>
      <c r="C35" s="5" t="n"/>
      <c r="D35" s="201" t="n"/>
      <c r="E35" s="5" t="n"/>
      <c r="F35" s="201" t="n"/>
      <c r="G35" s="5" t="n"/>
      <c r="H35" s="201" t="n"/>
      <c r="I35" s="13">
        <f>C35*E35*G35</f>
        <v/>
      </c>
      <c r="J35" s="206" t="n"/>
      <c r="K35" s="239" t="n"/>
      <c r="L35" s="201" t="n"/>
      <c r="M35" s="15">
        <f>K35*I35</f>
        <v/>
      </c>
      <c r="N35" s="206" t="n"/>
      <c r="O35" s="5" t="n">
        <v>0.85</v>
      </c>
      <c r="P35" s="50">
        <f>M35/O35</f>
        <v/>
      </c>
      <c r="S35" s="22" t="n"/>
      <c r="T35" s="22" t="n"/>
      <c r="U35" s="22" t="n"/>
      <c r="V35" s="22" t="n"/>
      <c r="W35" s="22" t="n"/>
    </row>
    <row r="36" ht="15.75" customFormat="1" customHeight="1" s="21" thickBot="1">
      <c r="A36" s="128" t="inlineStr">
        <is>
          <t>Subtotal Subcontractors</t>
        </is>
      </c>
      <c r="B36" s="240" t="n"/>
      <c r="C36" s="240" t="n"/>
      <c r="D36" s="240" t="n"/>
      <c r="E36" s="240" t="n"/>
      <c r="F36" s="240" t="n"/>
      <c r="G36" s="240" t="n"/>
      <c r="H36" s="240" t="n"/>
      <c r="I36" s="240" t="n"/>
      <c r="J36" s="240" t="n"/>
      <c r="K36" s="240" t="n"/>
      <c r="L36" s="240" t="n"/>
      <c r="M36" s="240" t="n"/>
      <c r="N36" s="240" t="n"/>
      <c r="O36" s="240" t="n"/>
      <c r="P36" s="56">
        <f>SUM(P29:P35)</f>
        <v/>
      </c>
      <c r="S36" s="22" t="n"/>
      <c r="T36" s="22" t="n"/>
      <c r="U36" s="22" t="n"/>
      <c r="V36" s="22" t="n"/>
      <c r="W36" s="22" t="n"/>
    </row>
    <row r="37" ht="34.5" customHeight="1" thickBot="1">
      <c r="A37" s="150" t="inlineStr">
        <is>
          <t>Materials and Equipment</t>
        </is>
      </c>
      <c r="B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9" t="n"/>
      <c r="S37" s="22" t="n"/>
      <c r="T37" s="22" t="n"/>
      <c r="U37" s="22" t="n"/>
      <c r="V37" s="22" t="n"/>
      <c r="W37" s="22" t="n"/>
    </row>
    <row r="38" ht="19.5" customHeight="1" thickBot="1">
      <c r="A38" s="69" t="inlineStr">
        <is>
          <t>Item</t>
        </is>
      </c>
      <c r="B38" s="69" t="inlineStr">
        <is>
          <t>Material Item</t>
        </is>
      </c>
      <c r="C38" s="35" t="inlineStr">
        <is>
          <t>Surcharge</t>
        </is>
      </c>
      <c r="D38" s="199" t="n"/>
      <c r="E38" s="35" t="inlineStr">
        <is>
          <t>Units/Length</t>
        </is>
      </c>
      <c r="F38" s="199" t="n"/>
      <c r="G38" s="36" t="inlineStr">
        <is>
          <t>Other</t>
        </is>
      </c>
      <c r="H38" s="199" t="n"/>
      <c r="I38" s="36" t="inlineStr">
        <is>
          <t>Total Surcharge</t>
        </is>
      </c>
      <c r="J38" s="199" t="n"/>
      <c r="K38" s="36" t="inlineStr">
        <is>
          <t>Unit Price</t>
        </is>
      </c>
      <c r="L38" s="199" t="n"/>
      <c r="M38" s="36" t="inlineStr">
        <is>
          <t>Subtotal 1</t>
        </is>
      </c>
      <c r="N38" s="199" t="n"/>
      <c r="O38" s="35" t="inlineStr">
        <is>
          <t>Margin</t>
        </is>
      </c>
      <c r="P38" s="186" t="inlineStr">
        <is>
          <t>Subtotal 2</t>
        </is>
      </c>
      <c r="S38" s="22" t="n"/>
      <c r="T38" s="22" t="n"/>
      <c r="U38" s="22" t="n"/>
      <c r="V38" s="22" t="n"/>
      <c r="W38" s="22" t="n"/>
    </row>
    <row r="39" ht="16.5" customHeight="1" thickTop="1">
      <c r="A39" s="13" t="n">
        <v>1</v>
      </c>
      <c r="B39" s="14" t="inlineStr">
        <is>
          <t>ABB SWGR</t>
        </is>
      </c>
      <c r="C39" s="236" t="n"/>
      <c r="D39" s="220" t="n"/>
      <c r="E39" s="236" t="n"/>
      <c r="F39" s="220" t="n"/>
      <c r="G39" s="236" t="n"/>
      <c r="H39" s="220" t="n"/>
      <c r="I39" s="236">
        <f>G39*E39*C39</f>
        <v/>
      </c>
      <c r="J39" s="220" t="n"/>
      <c r="K39" s="241" t="n"/>
      <c r="L39" s="220" t="n"/>
      <c r="M39" s="238">
        <f>K39*I39</f>
        <v/>
      </c>
      <c r="N39" s="220" t="n"/>
      <c r="O39" s="5" t="n">
        <v>0.85</v>
      </c>
      <c r="P39" s="70">
        <f>M39/O39</f>
        <v/>
      </c>
      <c r="S39" s="22" t="n"/>
      <c r="T39" s="22" t="n"/>
      <c r="U39" s="22" t="n"/>
      <c r="V39" s="22" t="n"/>
      <c r="W39" s="22" t="n"/>
    </row>
    <row r="40" customFormat="1" s="22">
      <c r="A40" s="13" t="n">
        <v>2</v>
      </c>
      <c r="B40" s="18" t="inlineStr">
        <is>
          <t>parking</t>
        </is>
      </c>
      <c r="C40" s="5" t="n"/>
      <c r="D40" s="201" t="n"/>
      <c r="E40" s="5" t="n"/>
      <c r="F40" s="201" t="n"/>
      <c r="G40" s="5" t="n"/>
      <c r="H40" s="201" t="n"/>
      <c r="I40" s="5">
        <f>G40*E40*C40</f>
        <v/>
      </c>
      <c r="J40" s="201" t="n"/>
      <c r="K40" s="239" t="n"/>
      <c r="L40" s="201" t="n"/>
      <c r="M40" s="121">
        <f>K40*I40</f>
        <v/>
      </c>
      <c r="N40" s="201" t="n"/>
      <c r="O40" s="5" t="n">
        <v>0.85</v>
      </c>
      <c r="P40" s="71">
        <f>M40/O40</f>
        <v/>
      </c>
    </row>
    <row r="41" customFormat="1" s="22">
      <c r="A41" s="13" t="n">
        <v>3</v>
      </c>
      <c r="B41" s="18" t="n"/>
      <c r="C41" s="5" t="n"/>
      <c r="D41" s="201" t="n"/>
      <c r="E41" s="5" t="n"/>
      <c r="F41" s="201" t="n"/>
      <c r="G41" s="5" t="n"/>
      <c r="H41" s="201" t="n"/>
      <c r="I41" s="5">
        <f>G41*E41*C41</f>
        <v/>
      </c>
      <c r="J41" s="201" t="n"/>
      <c r="K41" s="239" t="n"/>
      <c r="L41" s="201" t="n"/>
      <c r="M41" s="121">
        <f>K41*I41</f>
        <v/>
      </c>
      <c r="N41" s="201" t="n"/>
      <c r="O41" s="5" t="n">
        <v>0.85</v>
      </c>
      <c r="P41" s="71">
        <f>M41/O41</f>
        <v/>
      </c>
    </row>
    <row r="42" customFormat="1" s="22">
      <c r="A42" s="13" t="n">
        <v>4</v>
      </c>
      <c r="B42" s="18" t="n"/>
      <c r="C42" s="5" t="n"/>
      <c r="D42" s="201" t="n"/>
      <c r="E42" s="5" t="n"/>
      <c r="F42" s="201" t="n"/>
      <c r="G42" s="5" t="n"/>
      <c r="H42" s="201" t="n"/>
      <c r="I42" s="5">
        <f>G42*E42*C42</f>
        <v/>
      </c>
      <c r="J42" s="201" t="n"/>
      <c r="K42" s="239" t="n"/>
      <c r="L42" s="201" t="n"/>
      <c r="M42" s="121">
        <f>K42*I42</f>
        <v/>
      </c>
      <c r="N42" s="201" t="n"/>
      <c r="O42" s="5" t="n">
        <v>0.85</v>
      </c>
      <c r="P42" s="71">
        <f>M42/O42</f>
        <v/>
      </c>
    </row>
    <row r="43" customFormat="1" s="22">
      <c r="A43" s="13" t="n">
        <v>5</v>
      </c>
      <c r="B43" s="18" t="n"/>
      <c r="C43" s="5" t="n"/>
      <c r="D43" s="201" t="n"/>
      <c r="E43" s="5" t="n"/>
      <c r="F43" s="201" t="n"/>
      <c r="G43" s="5" t="n"/>
      <c r="H43" s="201" t="n"/>
      <c r="I43" s="5">
        <f>G43*E43*C43</f>
        <v/>
      </c>
      <c r="J43" s="201" t="n"/>
      <c r="K43" s="239" t="n"/>
      <c r="L43" s="201" t="n"/>
      <c r="M43" s="121">
        <f>K43*I43</f>
        <v/>
      </c>
      <c r="N43" s="201" t="n"/>
      <c r="O43" s="5" t="n">
        <v>0.85</v>
      </c>
      <c r="P43" s="71">
        <f>M43/O43</f>
        <v/>
      </c>
    </row>
    <row r="44" customFormat="1" s="22">
      <c r="A44" s="13" t="n">
        <v>6</v>
      </c>
      <c r="B44" s="18" t="n"/>
      <c r="C44" s="5" t="n"/>
      <c r="D44" s="201" t="n"/>
      <c r="E44" s="5" t="n"/>
      <c r="F44" s="201" t="n"/>
      <c r="G44" s="5" t="n"/>
      <c r="H44" s="201" t="n"/>
      <c r="I44" s="5">
        <f>G44*E44*C44</f>
        <v/>
      </c>
      <c r="J44" s="201" t="n"/>
      <c r="K44" s="239" t="n"/>
      <c r="L44" s="201" t="n"/>
      <c r="M44" s="121">
        <f>K44*I44</f>
        <v/>
      </c>
      <c r="N44" s="201" t="n"/>
      <c r="O44" s="5" t="n">
        <v>0.85</v>
      </c>
      <c r="P44" s="71">
        <f>M44/O44</f>
        <v/>
      </c>
    </row>
    <row r="45" customFormat="1" s="22">
      <c r="A45" s="13" t="n">
        <v>7</v>
      </c>
      <c r="B45" s="18" t="n"/>
      <c r="C45" s="5" t="n"/>
      <c r="D45" s="201" t="n"/>
      <c r="E45" s="5" t="n"/>
      <c r="F45" s="201" t="n"/>
      <c r="G45" s="5" t="n"/>
      <c r="H45" s="201" t="n"/>
      <c r="I45" s="5">
        <f>G45*E45*C45</f>
        <v/>
      </c>
      <c r="J45" s="201" t="n"/>
      <c r="K45" s="239" t="n"/>
      <c r="L45" s="201" t="n"/>
      <c r="M45" s="121">
        <f>K45*I45</f>
        <v/>
      </c>
      <c r="N45" s="201" t="n"/>
      <c r="O45" s="5" t="n">
        <v>0.85</v>
      </c>
      <c r="P45" s="71">
        <f>M45/O45</f>
        <v/>
      </c>
    </row>
    <row r="46" customFormat="1" s="22">
      <c r="A46" s="13" t="n">
        <v>8</v>
      </c>
      <c r="B46" s="18" t="n"/>
      <c r="C46" s="5" t="n"/>
      <c r="D46" s="201" t="n"/>
      <c r="E46" s="5" t="n"/>
      <c r="F46" s="201" t="n"/>
      <c r="G46" s="5" t="n"/>
      <c r="H46" s="201" t="n"/>
      <c r="I46" s="5">
        <f>G46*E46*C46</f>
        <v/>
      </c>
      <c r="J46" s="201" t="n"/>
      <c r="K46" s="239" t="n"/>
      <c r="L46" s="201" t="n"/>
      <c r="M46" s="121">
        <f>K46*I46</f>
        <v/>
      </c>
      <c r="N46" s="201" t="n"/>
      <c r="O46" s="5" t="n">
        <v>0.85</v>
      </c>
      <c r="P46" s="71">
        <f>M46/O46</f>
        <v/>
      </c>
    </row>
    <row r="47" customFormat="1" s="22">
      <c r="A47" s="13" t="n">
        <v>9</v>
      </c>
      <c r="B47" s="18" t="n"/>
      <c r="C47" s="5" t="n"/>
      <c r="D47" s="201" t="n"/>
      <c r="E47" s="5" t="n"/>
      <c r="F47" s="201" t="n"/>
      <c r="G47" s="5" t="n"/>
      <c r="H47" s="201" t="n"/>
      <c r="I47" s="5">
        <f>G47*E47*C47</f>
        <v/>
      </c>
      <c r="J47" s="201" t="n"/>
      <c r="K47" s="239" t="n"/>
      <c r="L47" s="201" t="n"/>
      <c r="M47" s="121">
        <f>K47*I47</f>
        <v/>
      </c>
      <c r="N47" s="201" t="n"/>
      <c r="O47" s="5" t="n">
        <v>0.85</v>
      </c>
      <c r="P47" s="71">
        <f>M47/O47</f>
        <v/>
      </c>
    </row>
    <row r="48" customFormat="1" s="22">
      <c r="A48" s="13" t="n">
        <v>10</v>
      </c>
      <c r="B48" s="18" t="n"/>
      <c r="C48" s="5" t="n"/>
      <c r="D48" s="201" t="n"/>
      <c r="E48" s="5" t="n"/>
      <c r="F48" s="201" t="n"/>
      <c r="G48" s="5" t="n"/>
      <c r="H48" s="201" t="n"/>
      <c r="I48" s="5">
        <f>G48*E48*C48</f>
        <v/>
      </c>
      <c r="J48" s="201" t="n"/>
      <c r="K48" s="239" t="n"/>
      <c r="L48" s="201" t="n"/>
      <c r="M48" s="121">
        <f>K48*I48</f>
        <v/>
      </c>
      <c r="N48" s="201" t="n"/>
      <c r="O48" s="5" t="n">
        <v>0.85</v>
      </c>
      <c r="P48" s="71">
        <f>M48/O48</f>
        <v/>
      </c>
    </row>
    <row r="49" customFormat="1" s="22">
      <c r="A49" s="13" t="n">
        <v>11</v>
      </c>
      <c r="B49" s="18" t="n"/>
      <c r="C49" s="5" t="n"/>
      <c r="D49" s="201" t="n"/>
      <c r="E49" s="5" t="n"/>
      <c r="F49" s="201" t="n"/>
      <c r="G49" s="5" t="n"/>
      <c r="H49" s="201" t="n"/>
      <c r="I49" s="5">
        <f>G49*E49*C49</f>
        <v/>
      </c>
      <c r="J49" s="201" t="n"/>
      <c r="K49" s="239" t="n"/>
      <c r="L49" s="201" t="n"/>
      <c r="M49" s="121">
        <f>K49*I49</f>
        <v/>
      </c>
      <c r="N49" s="201" t="n"/>
      <c r="O49" s="5" t="n">
        <v>0.85</v>
      </c>
      <c r="P49" s="71">
        <f>M49/O49</f>
        <v/>
      </c>
    </row>
    <row r="50" customFormat="1" s="22">
      <c r="A50" s="13" t="n">
        <v>12</v>
      </c>
      <c r="B50" s="18" t="n"/>
      <c r="C50" s="5" t="n"/>
      <c r="D50" s="201" t="n"/>
      <c r="E50" s="5" t="n"/>
      <c r="F50" s="201" t="n"/>
      <c r="G50" s="5" t="n"/>
      <c r="H50" s="201" t="n"/>
      <c r="I50" s="5">
        <f>G50*E50*C50</f>
        <v/>
      </c>
      <c r="J50" s="201" t="n"/>
      <c r="K50" s="239" t="n"/>
      <c r="L50" s="201" t="n"/>
      <c r="M50" s="121">
        <f>K50*I50</f>
        <v/>
      </c>
      <c r="N50" s="201" t="n"/>
      <c r="O50" s="5" t="n">
        <v>0.85</v>
      </c>
      <c r="P50" s="71">
        <f>M50/O50</f>
        <v/>
      </c>
    </row>
    <row r="51" customFormat="1" s="22">
      <c r="A51" s="13" t="n">
        <v>13</v>
      </c>
      <c r="B51" s="18" t="inlineStr">
        <is>
          <t>Rigid 90deg - 2"</t>
        </is>
      </c>
      <c r="C51" s="5" t="n"/>
      <c r="D51" s="201" t="n"/>
      <c r="E51" s="5" t="n"/>
      <c r="F51" s="201" t="n"/>
      <c r="G51" s="5" t="n"/>
      <c r="H51" s="201" t="n"/>
      <c r="I51" s="5">
        <f>G51*E51*C51</f>
        <v/>
      </c>
      <c r="J51" s="201" t="n"/>
      <c r="K51" s="239" t="n"/>
      <c r="L51" s="201" t="n"/>
      <c r="M51" s="121">
        <f>K51*I51</f>
        <v/>
      </c>
      <c r="N51" s="201" t="n"/>
      <c r="O51" s="5" t="n">
        <v>0.85</v>
      </c>
      <c r="P51" s="71">
        <f>M51/O51</f>
        <v/>
      </c>
    </row>
    <row r="52" customFormat="1" s="22">
      <c r="A52" s="13" t="n">
        <v>14</v>
      </c>
      <c r="B52" s="18" t="inlineStr">
        <is>
          <t>Rigid Bullet Hub Connectors - 2" and Nut</t>
        </is>
      </c>
      <c r="C52" s="5" t="n"/>
      <c r="D52" s="201" t="n"/>
      <c r="E52" s="5" t="n"/>
      <c r="F52" s="201" t="n"/>
      <c r="G52" s="5" t="n"/>
      <c r="H52" s="201" t="n"/>
      <c r="I52" s="5">
        <f>G52*E52*C52</f>
        <v/>
      </c>
      <c r="J52" s="201" t="n"/>
      <c r="K52" s="239" t="n"/>
      <c r="L52" s="201" t="n"/>
      <c r="M52" s="121">
        <f>K52*I52</f>
        <v/>
      </c>
      <c r="N52" s="201" t="n"/>
      <c r="O52" s="5" t="n">
        <v>0.85</v>
      </c>
      <c r="P52" s="71">
        <f>M52/O52</f>
        <v/>
      </c>
    </row>
    <row r="53" customFormat="1" s="22">
      <c r="A53" s="13" t="n">
        <v>15</v>
      </c>
      <c r="B53" s="72" t="inlineStr">
        <is>
          <t>YGA282N - 2 Hole Lug, #4/o AWG</t>
        </is>
      </c>
      <c r="C53" s="5" t="n"/>
      <c r="D53" s="201" t="n"/>
      <c r="E53" s="5" t="n"/>
      <c r="F53" s="201" t="n"/>
      <c r="G53" s="5" t="n"/>
      <c r="H53" s="201" t="n"/>
      <c r="I53" s="5">
        <f>G53*E53*C53</f>
        <v/>
      </c>
      <c r="J53" s="201" t="n"/>
      <c r="K53" s="239" t="n"/>
      <c r="L53" s="201" t="n"/>
      <c r="M53" s="121">
        <f>K53*I53</f>
        <v/>
      </c>
      <c r="N53" s="201" t="n"/>
      <c r="O53" s="5" t="n">
        <v>0.85</v>
      </c>
      <c r="P53" s="71">
        <f>M53/O53</f>
        <v/>
      </c>
    </row>
    <row r="54" customFormat="1" s="22">
      <c r="A54" s="13" t="n">
        <v>16</v>
      </c>
      <c r="B54" s="72" t="inlineStr">
        <is>
          <t>Mounting tape - VBH F-9473PB by 3M</t>
        </is>
      </c>
      <c r="C54" s="5" t="n"/>
      <c r="D54" s="201" t="n"/>
      <c r="E54" s="5" t="n"/>
      <c r="F54" s="201" t="n"/>
      <c r="G54" s="5" t="n"/>
      <c r="H54" s="201" t="n"/>
      <c r="I54" s="5">
        <f>G54*E54*C54</f>
        <v/>
      </c>
      <c r="J54" s="201" t="n"/>
      <c r="K54" s="239" t="n"/>
      <c r="L54" s="201" t="n"/>
      <c r="M54" s="121">
        <f>K54*I54</f>
        <v/>
      </c>
      <c r="N54" s="201" t="n"/>
      <c r="O54" s="5" t="n">
        <v>0.85</v>
      </c>
      <c r="P54" s="71">
        <f>M54/O54</f>
        <v/>
      </c>
    </row>
    <row r="55" customFormat="1" s="22">
      <c r="A55" s="13" t="n">
        <v>17</v>
      </c>
      <c r="B55" s="72" t="inlineStr">
        <is>
          <t>Foam tape - VBH F-4910 by 3M</t>
        </is>
      </c>
      <c r="C55" s="5" t="n"/>
      <c r="D55" s="201" t="n"/>
      <c r="E55" s="5" t="n"/>
      <c r="F55" s="201" t="n"/>
      <c r="G55" s="5" t="n"/>
      <c r="H55" s="201" t="n"/>
      <c r="I55" s="5">
        <f>G55*E55*C55</f>
        <v/>
      </c>
      <c r="J55" s="201" t="n"/>
      <c r="K55" s="239" t="n"/>
      <c r="L55" s="201" t="n"/>
      <c r="M55" s="121">
        <f>K55*I55</f>
        <v/>
      </c>
      <c r="N55" s="201" t="n"/>
      <c r="O55" s="5" t="n">
        <v>0.85</v>
      </c>
      <c r="P55" s="71">
        <f>M55/O55</f>
        <v/>
      </c>
    </row>
    <row r="56" customFormat="1" s="22">
      <c r="A56" s="13" t="n">
        <v>18</v>
      </c>
      <c r="B56" s="72" t="inlineStr">
        <is>
          <t>AS-7096N Sealant</t>
        </is>
      </c>
      <c r="C56" s="5" t="n"/>
      <c r="D56" s="201" t="n"/>
      <c r="E56" s="5" t="n"/>
      <c r="F56" s="201" t="n"/>
      <c r="G56" s="5" t="n"/>
      <c r="H56" s="201" t="n"/>
      <c r="I56" s="5">
        <f>G56*E56*C56</f>
        <v/>
      </c>
      <c r="J56" s="201" t="n"/>
      <c r="K56" s="239" t="n"/>
      <c r="L56" s="201" t="n"/>
      <c r="M56" s="121">
        <f>K56*I56</f>
        <v/>
      </c>
      <c r="N56" s="201" t="n"/>
      <c r="O56" s="5" t="n">
        <v>0.85</v>
      </c>
      <c r="P56" s="71">
        <f>M56/O56</f>
        <v/>
      </c>
    </row>
    <row r="57" customFormat="1" s="22">
      <c r="A57" s="13" t="n">
        <v>19</v>
      </c>
      <c r="B57" s="72" t="inlineStr">
        <is>
          <t>Breaker HLL36060</t>
        </is>
      </c>
      <c r="C57" s="5" t="n"/>
      <c r="D57" s="201" t="n"/>
      <c r="E57" s="5" t="n"/>
      <c r="F57" s="201" t="n"/>
      <c r="G57" s="5" t="n"/>
      <c r="H57" s="201" t="n"/>
      <c r="I57" s="5">
        <f>G57*E57*C57</f>
        <v/>
      </c>
      <c r="J57" s="201" t="n"/>
      <c r="K57" s="239" t="n"/>
      <c r="L57" s="201" t="n"/>
      <c r="M57" s="121">
        <f>K57*I57</f>
        <v/>
      </c>
      <c r="N57" s="201" t="n"/>
      <c r="O57" s="5" t="n">
        <v>0.85</v>
      </c>
      <c r="P57" s="71">
        <f>M57/O57</f>
        <v/>
      </c>
    </row>
    <row r="58" ht="31.5" customFormat="1" customHeight="1" s="22">
      <c r="A58" s="13" t="n">
        <v>20</v>
      </c>
      <c r="B58" s="72" t="inlineStr">
        <is>
          <t>Pull Box, EEMAC-1 300mX300mmX150mm (P/N: CS12126)</t>
        </is>
      </c>
      <c r="C58" s="5" t="n"/>
      <c r="D58" s="201" t="n"/>
      <c r="E58" s="5" t="n"/>
      <c r="F58" s="201" t="n"/>
      <c r="G58" s="5" t="n"/>
      <c r="H58" s="201" t="n"/>
      <c r="I58" s="5">
        <f>G58*E58*C58</f>
        <v/>
      </c>
      <c r="J58" s="201" t="n"/>
      <c r="K58" s="239" t="n"/>
      <c r="L58" s="201" t="n"/>
      <c r="M58" s="121">
        <f>K58*I58</f>
        <v/>
      </c>
      <c r="N58" s="201" t="n"/>
      <c r="O58" s="5" t="n">
        <v>0.85</v>
      </c>
      <c r="P58" s="71">
        <f>M58/O58</f>
        <v/>
      </c>
    </row>
    <row r="59" customFormat="1" s="22">
      <c r="A59" s="13" t="n">
        <v>27</v>
      </c>
      <c r="B59" s="72" t="inlineStr">
        <is>
          <t>Aluminum Bracket (Aluma Form)</t>
        </is>
      </c>
      <c r="C59" s="5" t="n"/>
      <c r="D59" s="201" t="n"/>
      <c r="E59" s="5" t="n"/>
      <c r="F59" s="201" t="n"/>
      <c r="G59" s="5" t="n"/>
      <c r="H59" s="201" t="n"/>
      <c r="I59" s="5">
        <f>G59*E59*C59</f>
        <v/>
      </c>
      <c r="J59" s="201" t="n"/>
      <c r="K59" s="239" t="n"/>
      <c r="L59" s="201" t="n"/>
      <c r="M59" s="121">
        <f>K59*I59</f>
        <v/>
      </c>
      <c r="N59" s="201" t="n"/>
      <c r="O59" s="5" t="n">
        <v>0.85</v>
      </c>
      <c r="P59" s="71">
        <f>M59/O59</f>
        <v/>
      </c>
    </row>
    <row r="60">
      <c r="A60" s="13" t="n">
        <v>28</v>
      </c>
      <c r="B60" s="18" t="n"/>
      <c r="C60" s="5" t="n"/>
      <c r="D60" s="201" t="n"/>
      <c r="E60" s="5" t="n"/>
      <c r="F60" s="201" t="n"/>
      <c r="G60" s="5" t="n"/>
      <c r="H60" s="201" t="n"/>
      <c r="I60" s="5">
        <f>G60*E60*C60</f>
        <v/>
      </c>
      <c r="J60" s="201" t="n"/>
      <c r="K60" s="239" t="n"/>
      <c r="L60" s="201" t="n"/>
      <c r="M60" s="121">
        <f>K60*I60</f>
        <v/>
      </c>
      <c r="N60" s="201" t="n"/>
      <c r="O60" s="5" t="n">
        <v>0.85</v>
      </c>
      <c r="P60" s="71">
        <f>M60/O60</f>
        <v/>
      </c>
      <c r="S60" s="22" t="n"/>
      <c r="T60" s="22" t="n"/>
      <c r="U60" s="22" t="n"/>
      <c r="V60" s="22" t="n"/>
      <c r="W60" s="22" t="n"/>
    </row>
    <row r="61">
      <c r="A61" s="13" t="n">
        <v>29</v>
      </c>
      <c r="B61" s="4" t="n"/>
      <c r="C61" s="5" t="n"/>
      <c r="D61" s="201" t="n"/>
      <c r="E61" s="5" t="n"/>
      <c r="F61" s="201" t="n"/>
      <c r="G61" s="5" t="n"/>
      <c r="H61" s="201" t="n"/>
      <c r="I61" s="5">
        <f>G61*E61*C61</f>
        <v/>
      </c>
      <c r="J61" s="201" t="n"/>
      <c r="K61" s="239" t="n"/>
      <c r="L61" s="201" t="n"/>
      <c r="M61" s="121">
        <f>K61*I61</f>
        <v/>
      </c>
      <c r="N61" s="201" t="n"/>
      <c r="O61" s="5" t="n">
        <v>0.85</v>
      </c>
      <c r="P61" s="71">
        <f>M61/O61</f>
        <v/>
      </c>
      <c r="S61" s="22" t="n"/>
      <c r="T61" s="73" t="n"/>
      <c r="U61" s="22" t="n"/>
      <c r="V61" s="22" t="n"/>
      <c r="W61" s="22" t="n"/>
    </row>
    <row r="62" ht="16.5" customFormat="1" customHeight="1" s="21" thickBot="1">
      <c r="A62" s="109" t="inlineStr">
        <is>
          <t>Subtotal Materials and Equipment</t>
        </is>
      </c>
      <c r="B62" s="200" t="n"/>
      <c r="C62" s="200" t="n"/>
      <c r="D62" s="200" t="n"/>
      <c r="E62" s="200" t="n"/>
      <c r="F62" s="200" t="n"/>
      <c r="G62" s="200" t="n"/>
      <c r="H62" s="200" t="n"/>
      <c r="I62" s="200" t="n"/>
      <c r="J62" s="200" t="n"/>
      <c r="K62" s="200" t="n"/>
      <c r="L62" s="200" t="n"/>
      <c r="M62" s="200" t="n"/>
      <c r="N62" s="200" t="n"/>
      <c r="O62" s="200" t="n"/>
      <c r="P62" s="74">
        <f>SUM(P39:P61)</f>
        <v/>
      </c>
      <c r="S62" s="22" t="n"/>
      <c r="T62" s="22" t="n"/>
      <c r="U62" s="22" t="n"/>
      <c r="V62" s="22" t="n"/>
      <c r="W62" s="22" t="n"/>
    </row>
    <row r="63" ht="16.5" customHeight="1" thickTop="1">
      <c r="A63" s="33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3" t="n"/>
      <c r="S63" s="22" t="n"/>
      <c r="T63" s="22" t="n"/>
      <c r="U63" s="22" t="n"/>
      <c r="V63" s="22" t="n"/>
      <c r="W63" s="22" t="n"/>
    </row>
    <row r="64">
      <c r="A64" s="204" t="n"/>
      <c r="B64" s="205" t="n"/>
      <c r="C64" s="205" t="n"/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  <c r="O64" s="205" t="n"/>
      <c r="P64" s="206" t="n"/>
      <c r="S64" s="22" t="n"/>
      <c r="T64" s="22" t="n"/>
      <c r="U64" s="22" t="n"/>
      <c r="V64" s="22" t="n"/>
      <c r="W64" s="22" t="n"/>
    </row>
    <row r="65">
      <c r="A65" s="103" t="inlineStr">
        <is>
          <t>Project Subtotal</t>
        </is>
      </c>
      <c r="B65" s="200" t="n"/>
      <c r="C65" s="200" t="n"/>
      <c r="D65" s="200" t="n"/>
      <c r="E65" s="200" t="n"/>
      <c r="F65" s="200" t="n"/>
      <c r="G65" s="200" t="n"/>
      <c r="H65" s="200" t="n"/>
      <c r="I65" s="200" t="n"/>
      <c r="J65" s="200" t="n"/>
      <c r="K65" s="200" t="n"/>
      <c r="L65" s="200" t="n"/>
      <c r="M65" s="200" t="n"/>
      <c r="N65" s="200" t="n"/>
      <c r="O65" s="201" t="n"/>
      <c r="P65" s="75">
        <f>P26+P36+P62</f>
        <v/>
      </c>
      <c r="S65" s="22" t="n"/>
      <c r="T65" s="22" t="n"/>
      <c r="U65" s="22" t="n"/>
      <c r="V65" s="22" t="n"/>
      <c r="W65" s="22" t="n"/>
    </row>
    <row r="66">
      <c r="A66" s="103" t="n"/>
      <c r="B66" s="200" t="n"/>
      <c r="C66" s="200" t="n"/>
      <c r="D66" s="200" t="n"/>
      <c r="E66" s="200" t="n"/>
      <c r="F66" s="200" t="n"/>
      <c r="G66" s="200" t="n"/>
      <c r="H66" s="200" t="n"/>
      <c r="I66" s="200" t="n"/>
      <c r="J66" s="200" t="n"/>
      <c r="K66" s="200" t="n"/>
      <c r="L66" s="200" t="n"/>
      <c r="M66" s="200" t="n"/>
      <c r="N66" s="200" t="n"/>
      <c r="O66" s="200" t="n"/>
      <c r="P66" s="201" t="n"/>
      <c r="S66" s="22" t="n"/>
      <c r="T66" s="22" t="n"/>
      <c r="U66" s="22" t="n"/>
      <c r="V66" s="22" t="n"/>
      <c r="W66" s="22" t="n"/>
    </row>
    <row r="67">
      <c r="A67" s="103" t="inlineStr">
        <is>
          <t>Cash Allowance</t>
        </is>
      </c>
      <c r="B67" s="200" t="n"/>
      <c r="C67" s="200" t="n"/>
      <c r="D67" s="200" t="n"/>
      <c r="E67" s="200" t="n"/>
      <c r="F67" s="200" t="n"/>
      <c r="G67" s="200" t="n"/>
      <c r="H67" s="200" t="n"/>
      <c r="I67" s="200" t="n"/>
      <c r="J67" s="200" t="n"/>
      <c r="K67" s="200" t="n"/>
      <c r="L67" s="200" t="n"/>
      <c r="M67" s="200" t="n"/>
      <c r="N67" s="200" t="n"/>
      <c r="O67" s="201" t="n"/>
      <c r="P67" s="75" t="n">
        <v>0</v>
      </c>
      <c r="S67" s="22" t="n"/>
      <c r="T67" s="22" t="n"/>
      <c r="U67" s="22" t="n"/>
      <c r="V67" s="22" t="n"/>
      <c r="W67" s="22" t="n"/>
    </row>
    <row r="68">
      <c r="A68" s="103" t="n"/>
      <c r="B68" s="200" t="n"/>
      <c r="C68" s="200" t="n"/>
      <c r="D68" s="200" t="n"/>
      <c r="E68" s="200" t="n"/>
      <c r="F68" s="200" t="n"/>
      <c r="G68" s="200" t="n"/>
      <c r="H68" s="200" t="n"/>
      <c r="I68" s="200" t="n"/>
      <c r="J68" s="200" t="n"/>
      <c r="K68" s="200" t="n"/>
      <c r="L68" s="200" t="n"/>
      <c r="M68" s="200" t="n"/>
      <c r="N68" s="200" t="n"/>
      <c r="O68" s="200" t="n"/>
      <c r="P68" s="201" t="n"/>
      <c r="S68" s="22" t="n"/>
      <c r="T68" s="22" t="n"/>
      <c r="U68" s="22" t="n"/>
      <c r="V68" s="22" t="n"/>
      <c r="W68" s="22" t="n"/>
    </row>
    <row r="69">
      <c r="A69" s="103" t="inlineStr">
        <is>
          <t>Utility Isolation</t>
        </is>
      </c>
      <c r="B69" s="200" t="n"/>
      <c r="C69" s="200" t="n"/>
      <c r="D69" s="200" t="n"/>
      <c r="E69" s="200" t="n"/>
      <c r="F69" s="200" t="n"/>
      <c r="G69" s="200" t="n"/>
      <c r="H69" s="200" t="n"/>
      <c r="I69" s="200" t="n"/>
      <c r="J69" s="200" t="n"/>
      <c r="K69" s="200" t="n"/>
      <c r="L69" s="200" t="n"/>
      <c r="M69" s="200" t="n"/>
      <c r="N69" s="200" t="n"/>
      <c r="O69" s="201" t="n"/>
      <c r="P69" s="75" t="n">
        <v>0</v>
      </c>
      <c r="S69" s="22" t="n"/>
      <c r="T69" s="22" t="n"/>
      <c r="U69" s="22" t="n"/>
      <c r="V69" s="22" t="n"/>
      <c r="W69" s="22" t="n"/>
    </row>
    <row r="70">
      <c r="A70" s="103" t="n"/>
      <c r="B70" s="200" t="n"/>
      <c r="C70" s="200" t="n"/>
      <c r="D70" s="200" t="n"/>
      <c r="E70" s="200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  <c r="P70" s="201" t="n"/>
      <c r="S70" s="22" t="n"/>
      <c r="T70" s="22" t="n"/>
      <c r="U70" s="22" t="n"/>
      <c r="V70" s="22" t="n"/>
      <c r="W70" s="22" t="n"/>
    </row>
    <row r="71">
      <c r="A71" s="104" t="inlineStr">
        <is>
          <t>Discount</t>
        </is>
      </c>
      <c r="B71" s="200" t="n"/>
      <c r="C71" s="200" t="n"/>
      <c r="D71" s="200" t="n"/>
      <c r="E71" s="200" t="n"/>
      <c r="F71" s="200" t="n"/>
      <c r="G71" s="200" t="n"/>
      <c r="H71" s="200" t="n"/>
      <c r="I71" s="200" t="n"/>
      <c r="J71" s="200" t="n"/>
      <c r="K71" s="200" t="n"/>
      <c r="L71" s="200" t="n"/>
      <c r="M71" s="200" t="n"/>
      <c r="N71" s="200" t="n"/>
      <c r="O71" s="201" t="n"/>
      <c r="P71" s="76" t="n">
        <v>0</v>
      </c>
      <c r="S71" s="22" t="n"/>
      <c r="T71" s="22" t="n"/>
      <c r="U71" s="22" t="n"/>
      <c r="V71" s="22" t="n"/>
      <c r="W71" s="22" t="n"/>
    </row>
    <row r="72">
      <c r="A72" s="189" t="n"/>
      <c r="B72" s="200" t="n"/>
      <c r="C72" s="200" t="n"/>
      <c r="D72" s="200" t="n"/>
      <c r="E72" s="200" t="n"/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  <c r="P72" s="201" t="n"/>
      <c r="S72" s="22" t="n"/>
      <c r="T72" s="22" t="n"/>
      <c r="U72" s="22" t="n"/>
      <c r="V72" s="22" t="n"/>
      <c r="W72" s="22" t="n"/>
    </row>
    <row r="73">
      <c r="A73" s="103" t="inlineStr">
        <is>
          <t>Project Total</t>
        </is>
      </c>
      <c r="B73" s="200" t="n"/>
      <c r="C73" s="200" t="n"/>
      <c r="D73" s="200" t="n"/>
      <c r="E73" s="200" t="n"/>
      <c r="F73" s="200" t="n"/>
      <c r="G73" s="200" t="n"/>
      <c r="H73" s="200" t="n"/>
      <c r="I73" s="200" t="n"/>
      <c r="J73" s="200" t="n"/>
      <c r="K73" s="200" t="n"/>
      <c r="L73" s="200" t="n"/>
      <c r="M73" s="200" t="n"/>
      <c r="N73" s="200" t="n"/>
      <c r="O73" s="201" t="n"/>
      <c r="P73" s="75">
        <f>SUM(P65,P67,P69, P71)</f>
        <v/>
      </c>
      <c r="S73" s="22" t="n"/>
      <c r="T73" s="73" t="n"/>
      <c r="U73" s="22" t="n"/>
      <c r="V73" s="22" t="n"/>
      <c r="W73" s="22" t="n"/>
    </row>
    <row r="74">
      <c r="A74" s="103" t="inlineStr">
        <is>
          <t>HST</t>
        </is>
      </c>
      <c r="B74" s="200" t="n"/>
      <c r="C74" s="200" t="n"/>
      <c r="D74" s="200" t="n"/>
      <c r="E74" s="200" t="n"/>
      <c r="F74" s="200" t="n"/>
      <c r="G74" s="200" t="n"/>
      <c r="H74" s="200" t="n"/>
      <c r="I74" s="200" t="n"/>
      <c r="J74" s="200" t="n"/>
      <c r="K74" s="200" t="n"/>
      <c r="L74" s="200" t="n"/>
      <c r="M74" s="200" t="n"/>
      <c r="N74" s="200" t="n"/>
      <c r="O74" s="201" t="n"/>
      <c r="P74" s="75">
        <f>P73*0.13</f>
        <v/>
      </c>
    </row>
    <row r="75">
      <c r="A75" s="103" t="inlineStr">
        <is>
          <t>TOTAL</t>
        </is>
      </c>
      <c r="B75" s="200" t="n"/>
      <c r="C75" s="200" t="n"/>
      <c r="D75" s="200" t="n"/>
      <c r="E75" s="200" t="n"/>
      <c r="F75" s="200" t="n"/>
      <c r="G75" s="200" t="n"/>
      <c r="H75" s="200" t="n"/>
      <c r="I75" s="200" t="n"/>
      <c r="J75" s="200" t="n"/>
      <c r="K75" s="200" t="n"/>
      <c r="L75" s="200" t="n"/>
      <c r="M75" s="200" t="n"/>
      <c r="N75" s="200" t="n"/>
      <c r="O75" s="201" t="n"/>
      <c r="P75" s="75">
        <f>P73+P74</f>
        <v/>
      </c>
    </row>
    <row r="76">
      <c r="A76" s="27" t="inlineStr">
        <is>
          <t>HST Check for final price should be the same as above</t>
        </is>
      </c>
      <c r="P76" s="29">
        <f>P73*1.13</f>
        <v/>
      </c>
    </row>
    <row r="84" ht="16.5" customHeight="1" thickBot="1"/>
    <row r="85" ht="32.25" customHeight="1" thickBot="1">
      <c r="B85" s="27" t="inlineStr">
        <is>
          <t>APS (Cost)</t>
        </is>
      </c>
      <c r="C85" s="93" t="inlineStr">
        <is>
          <t>Regular</t>
        </is>
      </c>
      <c r="D85" s="93" t="inlineStr">
        <is>
          <t>Regular W/truck</t>
        </is>
      </c>
      <c r="E85" s="199" t="n"/>
      <c r="F85" s="82" t="inlineStr">
        <is>
          <t>Double Time</t>
        </is>
      </c>
      <c r="G85" s="82" t="inlineStr">
        <is>
          <t>Double Time W/truck</t>
        </is>
      </c>
      <c r="H85" s="83" t="inlineStr">
        <is>
          <t>Shift 20%</t>
        </is>
      </c>
      <c r="I85" s="83" t="inlineStr">
        <is>
          <t>Shift 20% W/truck</t>
        </is>
      </c>
    </row>
    <row r="86">
      <c r="B86" s="77" t="inlineStr">
        <is>
          <t xml:space="preserve">FOREMAN                                          </t>
        </is>
      </c>
      <c r="C86" s="207" t="n">
        <v>98.20999999999999</v>
      </c>
      <c r="D86" s="207">
        <f>(C86+17)</f>
        <v/>
      </c>
      <c r="E86" s="206" t="n"/>
      <c r="F86" s="208" t="n">
        <v>196.41</v>
      </c>
      <c r="G86" s="208">
        <f>(F86+17)</f>
        <v/>
      </c>
      <c r="H86" s="209" t="n">
        <v>112.94</v>
      </c>
      <c r="I86" s="210">
        <f>H86+17</f>
        <v/>
      </c>
      <c r="J86" s="211" t="n"/>
      <c r="K86" s="211" t="n"/>
    </row>
    <row r="87">
      <c r="B87" s="77" t="inlineStr">
        <is>
          <t xml:space="preserve">JOURNEYMAN                                 </t>
        </is>
      </c>
      <c r="C87" s="212" t="n">
        <v>87.65000000000001</v>
      </c>
      <c r="D87" s="212">
        <f>(C87+17)</f>
        <v/>
      </c>
      <c r="E87" s="201" t="n"/>
      <c r="F87" s="213" t="n">
        <v>175.31</v>
      </c>
      <c r="G87" s="213">
        <f>(F87+17)</f>
        <v/>
      </c>
      <c r="H87" s="214" t="n">
        <v>100.8</v>
      </c>
      <c r="I87" s="215">
        <f>H87+17</f>
        <v/>
      </c>
      <c r="J87" s="211" t="n"/>
      <c r="K87" s="211" t="n"/>
    </row>
    <row r="88">
      <c r="B88" s="77" t="inlineStr">
        <is>
          <t xml:space="preserve">APPRENTICE #5                                </t>
        </is>
      </c>
      <c r="C88" s="212" t="n">
        <v>71.38</v>
      </c>
      <c r="D88" s="212">
        <f>(C88+17)</f>
        <v/>
      </c>
      <c r="E88" s="201" t="n"/>
      <c r="F88" s="213" t="n">
        <v>142.73</v>
      </c>
      <c r="G88" s="213">
        <f>(F88+17)</f>
        <v/>
      </c>
      <c r="H88" s="214" t="n">
        <v>82.09</v>
      </c>
      <c r="I88" s="215">
        <f>H88+17</f>
        <v/>
      </c>
      <c r="J88" s="211" t="n"/>
      <c r="K88" s="211" t="n"/>
    </row>
    <row r="89">
      <c r="B89" s="77" t="inlineStr">
        <is>
          <t xml:space="preserve">APPRENTICE #4                                </t>
        </is>
      </c>
      <c r="C89" s="212" t="n">
        <v>63.34</v>
      </c>
      <c r="D89" s="212">
        <f>(C89+17)</f>
        <v/>
      </c>
      <c r="E89" s="201" t="n"/>
      <c r="F89" s="213" t="n">
        <v>126.7</v>
      </c>
      <c r="G89" s="213">
        <f>(F89+17)</f>
        <v/>
      </c>
      <c r="H89" s="214" t="n">
        <v>72.84</v>
      </c>
      <c r="I89" s="215">
        <f>H89+17</f>
        <v/>
      </c>
      <c r="J89" s="211" t="n"/>
      <c r="K89" s="211" t="n"/>
    </row>
    <row r="90">
      <c r="B90" s="77" t="inlineStr">
        <is>
          <t xml:space="preserve">APPRENTICE #3                              </t>
        </is>
      </c>
      <c r="C90" s="212" t="n">
        <v>55.33</v>
      </c>
      <c r="D90" s="212">
        <f>(C90+17)</f>
        <v/>
      </c>
      <c r="E90" s="201" t="n"/>
      <c r="F90" s="213" t="n">
        <v>110.64</v>
      </c>
      <c r="G90" s="213">
        <f>(F90+17)</f>
        <v/>
      </c>
      <c r="H90" s="214" t="n">
        <v>63.63</v>
      </c>
      <c r="I90" s="215">
        <f>H90+17</f>
        <v/>
      </c>
      <c r="J90" s="211" t="n"/>
      <c r="K90" s="211" t="n"/>
    </row>
    <row r="91">
      <c r="B91" s="77" t="inlineStr">
        <is>
          <t xml:space="preserve">APPRENTICE #2                                 </t>
        </is>
      </c>
      <c r="C91" s="212" t="n">
        <v>47.3</v>
      </c>
      <c r="D91" s="212">
        <f>(C91+17)</f>
        <v/>
      </c>
      <c r="E91" s="201" t="n"/>
      <c r="F91" s="213" t="n">
        <v>94.59</v>
      </c>
      <c r="G91" s="213">
        <f>(F91+17)</f>
        <v/>
      </c>
      <c r="H91" s="214" t="n">
        <v>54.4</v>
      </c>
      <c r="I91" s="215">
        <f>H91+17</f>
        <v/>
      </c>
      <c r="J91" s="211" t="n"/>
      <c r="K91" s="211" t="n"/>
    </row>
    <row r="92">
      <c r="B92" s="77" t="inlineStr">
        <is>
          <t xml:space="preserve">APPRENTICE #1                                 </t>
        </is>
      </c>
      <c r="C92" s="212" t="n">
        <v>39.25</v>
      </c>
      <c r="D92" s="212">
        <f>(C92+17)</f>
        <v/>
      </c>
      <c r="E92" s="201" t="n"/>
      <c r="F92" s="213" t="n">
        <v>78.48999999999999</v>
      </c>
      <c r="G92" s="213">
        <f>(F92+17)</f>
        <v/>
      </c>
      <c r="H92" s="214" t="n">
        <v>45.14</v>
      </c>
      <c r="I92" s="215">
        <f>H92+17</f>
        <v/>
      </c>
      <c r="J92" s="211" t="n"/>
      <c r="K92" s="211" t="n"/>
    </row>
    <row r="93" ht="16.5" customHeight="1" thickBot="1">
      <c r="D93" s="216" t="n"/>
      <c r="E93" s="217" t="n"/>
    </row>
    <row r="94" ht="32.25" customHeight="1" thickBot="1">
      <c r="B94" s="27" t="inlineStr">
        <is>
          <t>APS (Sell)</t>
        </is>
      </c>
      <c r="C94" s="93" t="inlineStr">
        <is>
          <t>Regular</t>
        </is>
      </c>
      <c r="D94" s="93" t="inlineStr">
        <is>
          <t>Regular W/truck</t>
        </is>
      </c>
      <c r="E94" s="199" t="n"/>
      <c r="F94" s="82" t="inlineStr">
        <is>
          <t>Double Time</t>
        </is>
      </c>
      <c r="G94" s="82" t="inlineStr">
        <is>
          <t>Double Time W/truck</t>
        </is>
      </c>
      <c r="H94" s="83" t="inlineStr">
        <is>
          <t>Shift 20%</t>
        </is>
      </c>
      <c r="I94" s="83" t="inlineStr">
        <is>
          <t>Shift 20% W/truck</t>
        </is>
      </c>
      <c r="K94" s="33" t="inlineStr">
        <is>
          <t>Margin</t>
        </is>
      </c>
    </row>
    <row r="95">
      <c r="B95" s="77" t="inlineStr">
        <is>
          <t xml:space="preserve">FOREMAN                                          </t>
        </is>
      </c>
      <c r="C95" s="218">
        <f>C86/$K$95</f>
        <v/>
      </c>
      <c r="D95" s="219">
        <f>D86/$K$95</f>
        <v/>
      </c>
      <c r="E95" s="220" t="n"/>
      <c r="F95" s="218">
        <f>F86/$K$95</f>
        <v/>
      </c>
      <c r="G95" s="218">
        <f>G86/$K$95</f>
        <v/>
      </c>
      <c r="H95" s="218">
        <f>H86/$K$95</f>
        <v/>
      </c>
      <c r="I95" s="218">
        <f>I86/$K$95</f>
        <v/>
      </c>
      <c r="K95" s="5" t="n">
        <v>0.8</v>
      </c>
    </row>
    <row r="96">
      <c r="B96" s="77" t="inlineStr">
        <is>
          <t xml:space="preserve">JOURNEYMAN                                 </t>
        </is>
      </c>
      <c r="C96" s="218">
        <f>C87/$K$95</f>
        <v/>
      </c>
      <c r="D96" s="212">
        <f>D87/$K$95</f>
        <v/>
      </c>
      <c r="E96" s="201" t="n"/>
      <c r="F96" s="218">
        <f>F87/$K$95</f>
        <v/>
      </c>
      <c r="G96" s="218">
        <f>G87/$K$95</f>
        <v/>
      </c>
      <c r="H96" s="218">
        <f>H87/$K$95</f>
        <v/>
      </c>
      <c r="I96" s="218">
        <f>I87/$K$95</f>
        <v/>
      </c>
    </row>
    <row r="97">
      <c r="B97" s="77" t="inlineStr">
        <is>
          <t xml:space="preserve">APPRENTICE #5                                </t>
        </is>
      </c>
      <c r="C97" s="218">
        <f>C88/$K$95</f>
        <v/>
      </c>
      <c r="D97" s="212">
        <f>D88/$K$95</f>
        <v/>
      </c>
      <c r="E97" s="201" t="n"/>
      <c r="F97" s="218">
        <f>F88/$K$95</f>
        <v/>
      </c>
      <c r="G97" s="218">
        <f>G88/$K$95</f>
        <v/>
      </c>
      <c r="H97" s="218">
        <f>H88/$K$95</f>
        <v/>
      </c>
      <c r="I97" s="218">
        <f>I88/$K$95</f>
        <v/>
      </c>
    </row>
    <row r="98">
      <c r="B98" s="77" t="inlineStr">
        <is>
          <t xml:space="preserve">APPRENTICE #4                                </t>
        </is>
      </c>
      <c r="C98" s="218">
        <f>C89/$K$95</f>
        <v/>
      </c>
      <c r="D98" s="212">
        <f>D89/$K$95</f>
        <v/>
      </c>
      <c r="E98" s="201" t="n"/>
      <c r="F98" s="218">
        <f>F89/$K$95</f>
        <v/>
      </c>
      <c r="G98" s="218">
        <f>G89/$K$95</f>
        <v/>
      </c>
      <c r="H98" s="218">
        <f>H89/$K$95</f>
        <v/>
      </c>
      <c r="I98" s="218">
        <f>I89/$K$95</f>
        <v/>
      </c>
    </row>
    <row r="99">
      <c r="B99" s="77" t="inlineStr">
        <is>
          <t xml:space="preserve">APPRENTICE #3                              </t>
        </is>
      </c>
      <c r="C99" s="218">
        <f>C90/$K$95</f>
        <v/>
      </c>
      <c r="D99" s="212">
        <f>D90/$K$95</f>
        <v/>
      </c>
      <c r="E99" s="201" t="n"/>
      <c r="F99" s="218">
        <f>F90/$K$95</f>
        <v/>
      </c>
      <c r="G99" s="218">
        <f>G90/$K$95</f>
        <v/>
      </c>
      <c r="H99" s="218">
        <f>H90/$K$95</f>
        <v/>
      </c>
      <c r="I99" s="218">
        <f>I90/$K$95</f>
        <v/>
      </c>
    </row>
    <row r="100">
      <c r="B100" s="77" t="inlineStr">
        <is>
          <t xml:space="preserve">APPRENTICE #2                                 </t>
        </is>
      </c>
      <c r="C100" s="218">
        <f>C91/$K$95</f>
        <v/>
      </c>
      <c r="D100" s="212">
        <f>D91/$K$95</f>
        <v/>
      </c>
      <c r="E100" s="201" t="n"/>
      <c r="F100" s="218">
        <f>F91/$K$95</f>
        <v/>
      </c>
      <c r="G100" s="218">
        <f>G91/$K$95</f>
        <v/>
      </c>
      <c r="H100" s="218">
        <f>H91/$K$95</f>
        <v/>
      </c>
      <c r="I100" s="218">
        <f>I91/$K$95</f>
        <v/>
      </c>
    </row>
    <row r="101">
      <c r="B101" s="77" t="inlineStr">
        <is>
          <t xml:space="preserve">APPRENTICE #1                                 </t>
        </is>
      </c>
      <c r="C101" s="218">
        <f>C92/$K$95</f>
        <v/>
      </c>
      <c r="D101" s="212">
        <f>D92/$K$95</f>
        <v/>
      </c>
      <c r="E101" s="201" t="n"/>
      <c r="F101" s="218">
        <f>F92/$K$95</f>
        <v/>
      </c>
      <c r="G101" s="218">
        <f>G92/$K$95</f>
        <v/>
      </c>
      <c r="H101" s="218">
        <f>H92/$K$95</f>
        <v/>
      </c>
      <c r="I101" s="218">
        <f>I92/$K$95</f>
        <v/>
      </c>
    </row>
    <row r="102">
      <c r="D102" s="221" t="n"/>
    </row>
    <row r="103">
      <c r="D103" s="221" t="n"/>
    </row>
    <row r="104">
      <c r="B104" s="27" t="inlineStr">
        <is>
          <t>Bonding</t>
        </is>
      </c>
      <c r="C104" s="27" t="inlineStr">
        <is>
          <t>rate/Moths</t>
        </is>
      </c>
    </row>
    <row r="105">
      <c r="B105" s="27" t="inlineStr">
        <is>
          <t>First $2.5M</t>
        </is>
      </c>
      <c r="C105" s="27" t="n">
        <v>8.699999999999999</v>
      </c>
      <c r="G105" s="221" t="n">
        <v>2500000</v>
      </c>
      <c r="I105" s="211">
        <f>G105/1000*C105</f>
        <v/>
      </c>
    </row>
    <row r="106">
      <c r="B106" s="27" t="inlineStr">
        <is>
          <t>Second $2.5M</t>
        </is>
      </c>
      <c r="C106" s="27" t="n">
        <v>7.9</v>
      </c>
      <c r="G106" s="221" t="n">
        <v>2500000</v>
      </c>
      <c r="I106" s="211">
        <f>G106/1000*C106</f>
        <v/>
      </c>
    </row>
    <row r="107">
      <c r="B107" s="27" t="inlineStr">
        <is>
          <t>Third $2.5M</t>
        </is>
      </c>
      <c r="C107" s="27" t="n">
        <v>6.95</v>
      </c>
      <c r="G107" s="221" t="n">
        <v>2500000</v>
      </c>
      <c r="I107" s="211">
        <f>G107/1000*C107</f>
        <v/>
      </c>
    </row>
    <row r="108">
      <c r="B108" s="27" t="inlineStr">
        <is>
          <t>Subtotal</t>
        </is>
      </c>
      <c r="I108" s="211">
        <f>I105+I106+I107</f>
        <v/>
      </c>
    </row>
    <row r="109">
      <c r="B109" s="27" t="inlineStr">
        <is>
          <t>after 24 months</t>
        </is>
      </c>
      <c r="C109" s="27" t="n">
        <v>12</v>
      </c>
      <c r="I109" s="211">
        <f>I108*C109*0.01</f>
        <v/>
      </c>
    </row>
    <row r="110">
      <c r="B110" s="27" t="inlineStr">
        <is>
          <t>Grand Total for Bond</t>
        </is>
      </c>
      <c r="I110" s="211">
        <f>I108+I109</f>
        <v/>
      </c>
    </row>
    <row r="111">
      <c r="B111" s="27" t="inlineStr">
        <is>
          <t>Sell Price</t>
        </is>
      </c>
      <c r="I111" s="211">
        <f>I110/0.9</f>
        <v/>
      </c>
    </row>
    <row r="114">
      <c r="F114" s="21" t="n"/>
      <c r="G114" s="21" t="n"/>
    </row>
    <row r="115">
      <c r="F115" s="21" t="n"/>
      <c r="G115" s="77" t="n"/>
    </row>
    <row r="116">
      <c r="F116" s="21" t="n"/>
      <c r="G116" s="77" t="n"/>
    </row>
    <row r="117">
      <c r="F117" s="21" t="n"/>
      <c r="G117" s="77" t="n"/>
    </row>
    <row r="118">
      <c r="F118" s="21" t="n"/>
      <c r="G118" s="77" t="n"/>
    </row>
    <row r="119">
      <c r="F119" s="21" t="n"/>
      <c r="G119" s="77" t="n"/>
    </row>
  </sheetData>
  <mergeCells count="249">
    <mergeCell ref="A69:O69"/>
    <mergeCell ref="K49:L49"/>
    <mergeCell ref="M43:N43"/>
    <mergeCell ref="D100:E100"/>
    <mergeCell ref="M59:N59"/>
    <mergeCell ref="K33:L33"/>
    <mergeCell ref="A75:O75"/>
    <mergeCell ref="A68:P68"/>
    <mergeCell ref="K35:L35"/>
    <mergeCell ref="E51:F51"/>
    <mergeCell ref="M60:N60"/>
    <mergeCell ref="M35:N35"/>
    <mergeCell ref="D86:E86"/>
    <mergeCell ref="C54:D54"/>
    <mergeCell ref="M54:N54"/>
    <mergeCell ref="K50:L50"/>
    <mergeCell ref="C41:D41"/>
    <mergeCell ref="G57:H57"/>
    <mergeCell ref="C50:D50"/>
    <mergeCell ref="I4:N4"/>
    <mergeCell ref="C56:D56"/>
    <mergeCell ref="I58:J58"/>
    <mergeCell ref="K58:L58"/>
    <mergeCell ref="E34:F34"/>
    <mergeCell ref="C43:D43"/>
    <mergeCell ref="K52:L52"/>
    <mergeCell ref="G34:H34"/>
    <mergeCell ref="M29:N29"/>
    <mergeCell ref="A26:E26"/>
    <mergeCell ref="I42:J42"/>
    <mergeCell ref="E49:F49"/>
    <mergeCell ref="K42:L42"/>
    <mergeCell ref="G58:H58"/>
    <mergeCell ref="M33:N33"/>
    <mergeCell ref="M45:N45"/>
    <mergeCell ref="I52:J52"/>
    <mergeCell ref="A67:O67"/>
    <mergeCell ref="I44:J44"/>
    <mergeCell ref="K53:L53"/>
    <mergeCell ref="A73:O73"/>
    <mergeCell ref="M47:N47"/>
    <mergeCell ref="D98:E98"/>
    <mergeCell ref="K28:L28"/>
    <mergeCell ref="C28:D28"/>
    <mergeCell ref="E53:F53"/>
    <mergeCell ref="M50:N50"/>
    <mergeCell ref="G44:H44"/>
    <mergeCell ref="D88:E88"/>
    <mergeCell ref="I30:J30"/>
    <mergeCell ref="G59:H59"/>
    <mergeCell ref="K30:L30"/>
    <mergeCell ref="C30:D30"/>
    <mergeCell ref="E55:F55"/>
    <mergeCell ref="I46:J46"/>
    <mergeCell ref="D90:E90"/>
    <mergeCell ref="M44:N44"/>
    <mergeCell ref="D99:E99"/>
    <mergeCell ref="C45:D45"/>
    <mergeCell ref="O4:O5"/>
    <mergeCell ref="G61:H61"/>
    <mergeCell ref="I61:J61"/>
    <mergeCell ref="E48:F48"/>
    <mergeCell ref="K55:L55"/>
    <mergeCell ref="G48:H48"/>
    <mergeCell ref="I57:J57"/>
    <mergeCell ref="D101:E101"/>
    <mergeCell ref="K51:L51"/>
    <mergeCell ref="C47:D47"/>
    <mergeCell ref="M51:N51"/>
    <mergeCell ref="I54:J54"/>
    <mergeCell ref="I14:K14"/>
    <mergeCell ref="G38:H38"/>
    <mergeCell ref="I32:J32"/>
    <mergeCell ref="E38:F38"/>
    <mergeCell ref="K32:L32"/>
    <mergeCell ref="I41:J41"/>
    <mergeCell ref="K41:L41"/>
    <mergeCell ref="C40:D40"/>
    <mergeCell ref="E40:F40"/>
    <mergeCell ref="A62:O62"/>
    <mergeCell ref="I56:J56"/>
    <mergeCell ref="K56:L56"/>
    <mergeCell ref="G49:H49"/>
    <mergeCell ref="I43:J43"/>
    <mergeCell ref="K43:L43"/>
    <mergeCell ref="C60:D60"/>
    <mergeCell ref="G33:H33"/>
    <mergeCell ref="D103:E103"/>
    <mergeCell ref="I33:J33"/>
    <mergeCell ref="M41:N41"/>
    <mergeCell ref="A14:E14"/>
    <mergeCell ref="G25:G26"/>
    <mergeCell ref="G35:H35"/>
    <mergeCell ref="I35:J35"/>
    <mergeCell ref="A37:P37"/>
    <mergeCell ref="C57:D57"/>
    <mergeCell ref="D89:E89"/>
    <mergeCell ref="I59:J59"/>
    <mergeCell ref="C4:H4"/>
    <mergeCell ref="G60:H60"/>
    <mergeCell ref="C53:D53"/>
    <mergeCell ref="M53:N53"/>
    <mergeCell ref="E58:F58"/>
    <mergeCell ref="I60:J60"/>
    <mergeCell ref="E50:F50"/>
    <mergeCell ref="C34:D34"/>
    <mergeCell ref="M34:N34"/>
    <mergeCell ref="M55:N55"/>
    <mergeCell ref="G42:H42"/>
    <mergeCell ref="A1:P2"/>
    <mergeCell ref="C58:D58"/>
    <mergeCell ref="M52:N52"/>
    <mergeCell ref="I45:J45"/>
    <mergeCell ref="E52:F52"/>
    <mergeCell ref="M49:N49"/>
    <mergeCell ref="K45:L45"/>
    <mergeCell ref="A74:O74"/>
    <mergeCell ref="M39:N39"/>
    <mergeCell ref="K54:L54"/>
    <mergeCell ref="D96:E96"/>
    <mergeCell ref="M48:N48"/>
    <mergeCell ref="E39:F39"/>
    <mergeCell ref="E44:F44"/>
    <mergeCell ref="G39:H39"/>
    <mergeCell ref="K60:L60"/>
    <mergeCell ref="K29:L29"/>
    <mergeCell ref="C29:D29"/>
    <mergeCell ref="I47:J47"/>
    <mergeCell ref="E29:F29"/>
    <mergeCell ref="K47:L47"/>
    <mergeCell ref="A25:E25"/>
    <mergeCell ref="M25:M26"/>
    <mergeCell ref="O25:O26"/>
    <mergeCell ref="K44:L44"/>
    <mergeCell ref="C44:D44"/>
    <mergeCell ref="K31:L31"/>
    <mergeCell ref="K46:L46"/>
    <mergeCell ref="C31:D31"/>
    <mergeCell ref="K40:L40"/>
    <mergeCell ref="M31:N31"/>
    <mergeCell ref="E31:F31"/>
    <mergeCell ref="M40:N40"/>
    <mergeCell ref="D91:E91"/>
    <mergeCell ref="C59:D59"/>
    <mergeCell ref="E59:F59"/>
    <mergeCell ref="C46:D46"/>
    <mergeCell ref="E46:F46"/>
    <mergeCell ref="A4:A5"/>
    <mergeCell ref="C51:D51"/>
    <mergeCell ref="A6:P6"/>
    <mergeCell ref="D93:E93"/>
    <mergeCell ref="C61:D61"/>
    <mergeCell ref="E61:F61"/>
    <mergeCell ref="D102:E102"/>
    <mergeCell ref="A16:P16"/>
    <mergeCell ref="C48:D48"/>
    <mergeCell ref="E57:F57"/>
    <mergeCell ref="G51:H51"/>
    <mergeCell ref="D92:E92"/>
    <mergeCell ref="I51:J51"/>
    <mergeCell ref="B4:B5"/>
    <mergeCell ref="E54:F54"/>
    <mergeCell ref="A66:P66"/>
    <mergeCell ref="C38:D38"/>
    <mergeCell ref="G54:H54"/>
    <mergeCell ref="C32:D32"/>
    <mergeCell ref="E32:F32"/>
    <mergeCell ref="E41:F41"/>
    <mergeCell ref="A36:O36"/>
    <mergeCell ref="M38:N38"/>
    <mergeCell ref="G41:H41"/>
    <mergeCell ref="G32:H32"/>
    <mergeCell ref="K57:L57"/>
    <mergeCell ref="G50:H50"/>
    <mergeCell ref="G106:H106"/>
    <mergeCell ref="D85:E85"/>
    <mergeCell ref="I50:J50"/>
    <mergeCell ref="A3:P3"/>
    <mergeCell ref="D94:E94"/>
    <mergeCell ref="P4:P5"/>
    <mergeCell ref="E56:F56"/>
    <mergeCell ref="G56:H56"/>
    <mergeCell ref="M58:N58"/>
    <mergeCell ref="C49:D49"/>
    <mergeCell ref="E43:F43"/>
    <mergeCell ref="G105:H105"/>
    <mergeCell ref="I34:J34"/>
    <mergeCell ref="A65:O65"/>
    <mergeCell ref="G43:H43"/>
    <mergeCell ref="K34:L34"/>
    <mergeCell ref="G52:H52"/>
    <mergeCell ref="C33:D33"/>
    <mergeCell ref="E33:F33"/>
    <mergeCell ref="C42:D42"/>
    <mergeCell ref="I49:J49"/>
    <mergeCell ref="E42:F42"/>
    <mergeCell ref="G107:H107"/>
    <mergeCell ref="A72:P72"/>
    <mergeCell ref="C35:D35"/>
    <mergeCell ref="E35:F35"/>
    <mergeCell ref="D95:E95"/>
    <mergeCell ref="A71:O71"/>
    <mergeCell ref="C55:D55"/>
    <mergeCell ref="E28:F28"/>
    <mergeCell ref="G53:H53"/>
    <mergeCell ref="G28:H28"/>
    <mergeCell ref="I53:J53"/>
    <mergeCell ref="I28:J28"/>
    <mergeCell ref="D97:E97"/>
    <mergeCell ref="E60:F60"/>
    <mergeCell ref="A15:P15"/>
    <mergeCell ref="M30:N30"/>
    <mergeCell ref="K59:L59"/>
    <mergeCell ref="D87:E87"/>
    <mergeCell ref="E30:F30"/>
    <mergeCell ref="G30:H30"/>
    <mergeCell ref="I55:J55"/>
    <mergeCell ref="A70:P70"/>
    <mergeCell ref="M46:N46"/>
    <mergeCell ref="M28:N28"/>
    <mergeCell ref="E45:F45"/>
    <mergeCell ref="M42:N42"/>
    <mergeCell ref="I25:K26"/>
    <mergeCell ref="G45:H45"/>
    <mergeCell ref="C52:D52"/>
    <mergeCell ref="K61:L61"/>
    <mergeCell ref="I39:J39"/>
    <mergeCell ref="K39:L39"/>
    <mergeCell ref="M61:N61"/>
    <mergeCell ref="I48:J48"/>
    <mergeCell ref="C39:D39"/>
    <mergeCell ref="K48:L48"/>
    <mergeCell ref="G55:H55"/>
    <mergeCell ref="G29:H29"/>
    <mergeCell ref="A63:P64"/>
    <mergeCell ref="M57:N57"/>
    <mergeCell ref="I29:J29"/>
    <mergeCell ref="I38:J38"/>
    <mergeCell ref="G47:H47"/>
    <mergeCell ref="K38:L38"/>
    <mergeCell ref="M32:N32"/>
    <mergeCell ref="A27:P27"/>
    <mergeCell ref="G31:H31"/>
    <mergeCell ref="G46:H46"/>
    <mergeCell ref="I31:J31"/>
    <mergeCell ref="G40:H40"/>
    <mergeCell ref="I40:J40"/>
    <mergeCell ref="E47:F47"/>
    <mergeCell ref="M56:N56"/>
  </mergeCells>
  <dataValidations count="1">
    <dataValidation sqref="K95 O7:O13 O17:O24 O29:O35 O39:O61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portrait" paperSize="17" scale="72" fitToHeight="0" horizontalDpi="300" verticalDpi="300"/>
  <colBreaks count="1" manualBreakCount="1">
    <brk id="16" min="0" max="83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9"/>
  <sheetViews>
    <sheetView zoomScale="80" zoomScaleNormal="80" workbookViewId="0">
      <selection activeCell="A37" sqref="A37:P37"/>
    </sheetView>
  </sheetViews>
  <sheetFormatPr baseColWidth="8" defaultColWidth="9.140625" defaultRowHeight="15.75"/>
  <cols>
    <col width="9.140625" customWidth="1" style="27" min="1" max="1"/>
    <col width="44.85546875" customWidth="1" style="27" min="2" max="2"/>
    <col width="14.140625" customWidth="1" style="27" min="3" max="3"/>
    <col width="7.28515625" customWidth="1" style="27" min="4" max="4"/>
    <col width="9.42578125" customWidth="1" style="27" min="5" max="5"/>
    <col width="15.7109375" customWidth="1" style="27" min="6" max="6"/>
    <col width="19.140625" customWidth="1" style="27" min="7" max="7"/>
    <col width="15.28515625" customWidth="1" style="27" min="8" max="14"/>
    <col width="14.85546875" customWidth="1" style="27" min="15" max="15"/>
    <col width="22" customWidth="1" style="27" min="16" max="16"/>
    <col width="9.140625" customWidth="1" style="27" min="17" max="17"/>
    <col width="12.42578125" bestFit="1" customWidth="1" style="27" min="18" max="18"/>
    <col width="11.42578125" customWidth="1" style="27" min="19" max="19"/>
    <col width="15.5703125" bestFit="1" customWidth="1" style="27" min="20" max="20"/>
    <col width="12.85546875" customWidth="1" style="27" min="21" max="21"/>
    <col width="13.85546875" customWidth="1" style="27" min="22" max="22"/>
    <col width="11.85546875" customWidth="1" style="27" min="23" max="23"/>
    <col width="9.140625" customWidth="1" style="27" min="24" max="16384"/>
  </cols>
  <sheetData>
    <row r="1" ht="23.25" customHeight="1">
      <c r="A1" s="192">
        <f t="array" ref="A1">MID(CELL("filename",C1),FIND("]",CELL("filename",C1))+1,255)</f>
        <v/>
      </c>
      <c r="B1" s="193" t="n"/>
      <c r="C1" s="193" t="n"/>
      <c r="D1" s="193" t="n"/>
      <c r="E1" s="193" t="n"/>
      <c r="F1" s="193" t="n"/>
      <c r="G1" s="193" t="n"/>
      <c r="H1" s="193" t="n"/>
      <c r="I1" s="193" t="n"/>
      <c r="J1" s="193" t="n"/>
      <c r="K1" s="193" t="n"/>
      <c r="L1" s="193" t="n"/>
      <c r="M1" s="193" t="n"/>
      <c r="N1" s="193" t="n"/>
      <c r="O1" s="193" t="n"/>
      <c r="P1" s="194" t="n"/>
      <c r="R1" s="27">
        <f t="array" ref="R1">MID(CELL("filename",C1),FIND("]",CELL("filename",C1))+1,255)</f>
        <v/>
      </c>
    </row>
    <row r="2" ht="19.5" customHeight="1" thickBot="1">
      <c r="A2" s="195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7" t="n"/>
    </row>
    <row r="3" ht="19.5" customHeight="1" thickBot="1">
      <c r="A3" s="150" t="inlineStr">
        <is>
          <t>AINSWORTH LABOUR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9" t="n"/>
    </row>
    <row r="4" ht="19.5" customHeight="1" thickBot="1">
      <c r="A4" s="35" t="inlineStr">
        <is>
          <t>Item</t>
        </is>
      </c>
      <c r="B4" s="35" t="inlineStr">
        <is>
          <t>Task</t>
        </is>
      </c>
      <c r="C4" s="35" t="inlineStr">
        <is>
          <t>Regular Labour Rates</t>
        </is>
      </c>
      <c r="D4" s="198" t="n"/>
      <c r="E4" s="198" t="n"/>
      <c r="F4" s="198" t="n"/>
      <c r="G4" s="198" t="n"/>
      <c r="H4" s="199" t="n"/>
      <c r="I4" s="37" t="inlineStr">
        <is>
          <t>Premium Labour Rates</t>
        </is>
      </c>
      <c r="J4" s="198" t="n"/>
      <c r="K4" s="198" t="n"/>
      <c r="L4" s="198" t="n"/>
      <c r="M4" s="198" t="n"/>
      <c r="N4" s="199" t="n"/>
      <c r="O4" s="35" t="inlineStr">
        <is>
          <t>Margin</t>
        </is>
      </c>
      <c r="P4" s="222" t="inlineStr">
        <is>
          <t>Subtotal 3 - Sell Rate</t>
        </is>
      </c>
    </row>
    <row r="5" ht="57" customHeight="1" thickBot="1">
      <c r="A5" s="223" t="n"/>
      <c r="B5" s="223" t="n"/>
      <c r="C5" s="35" t="inlineStr">
        <is>
          <t># of techs</t>
        </is>
      </c>
      <c r="D5" s="35" t="inlineStr">
        <is>
          <t>Days/Units</t>
        </is>
      </c>
      <c r="E5" s="35" t="inlineStr">
        <is>
          <t>Regular Hours</t>
        </is>
      </c>
      <c r="F5" s="35" t="inlineStr">
        <is>
          <t>Total Regular Hours</t>
        </is>
      </c>
      <c r="G5" s="36" t="inlineStr">
        <is>
          <t>Regular Labour Rate</t>
        </is>
      </c>
      <c r="H5" s="36" t="inlineStr">
        <is>
          <t>Subtotal 1</t>
        </is>
      </c>
      <c r="I5" s="37" t="inlineStr">
        <is>
          <t># of techs</t>
        </is>
      </c>
      <c r="J5" s="37" t="inlineStr">
        <is>
          <t>Days/Units</t>
        </is>
      </c>
      <c r="K5" s="37" t="inlineStr">
        <is>
          <t>O/T Hours</t>
        </is>
      </c>
      <c r="L5" s="37" t="inlineStr">
        <is>
          <t>Total O/T Hours</t>
        </is>
      </c>
      <c r="M5" s="38" t="inlineStr">
        <is>
          <t>O/T Labour Rate</t>
        </is>
      </c>
      <c r="N5" s="37" t="inlineStr">
        <is>
          <t>Subtotal 2</t>
        </is>
      </c>
      <c r="O5" s="223" t="n"/>
      <c r="P5" s="223" t="n"/>
    </row>
    <row r="6" ht="34.5" customHeight="1" thickBot="1">
      <c r="A6" s="150" t="inlineStr">
        <is>
          <t>Project Management</t>
        </is>
      </c>
      <c r="B6" s="198" t="n"/>
      <c r="C6" s="198" t="n"/>
      <c r="D6" s="198" t="n"/>
      <c r="E6" s="198" t="n"/>
      <c r="F6" s="198" t="n"/>
      <c r="G6" s="198" t="n"/>
      <c r="H6" s="198" t="n"/>
      <c r="I6" s="198" t="n"/>
      <c r="J6" s="198" t="n"/>
      <c r="K6" s="198" t="n"/>
      <c r="L6" s="198" t="n"/>
      <c r="M6" s="198" t="n"/>
      <c r="N6" s="198" t="n"/>
      <c r="O6" s="198" t="n"/>
      <c r="P6" s="199" t="n"/>
      <c r="T6" s="211">
        <f>(P25+P36+P62)*0.05</f>
        <v/>
      </c>
    </row>
    <row r="7" ht="16.5" customHeight="1" thickTop="1">
      <c r="A7" s="156" t="n">
        <v>1</v>
      </c>
      <c r="B7" s="24" t="inlineStr">
        <is>
          <t>Engineering/Meetings</t>
        </is>
      </c>
      <c r="C7" s="13" t="n">
        <v>0</v>
      </c>
      <c r="D7" s="13" t="n">
        <v>0</v>
      </c>
      <c r="E7" s="13" t="n"/>
      <c r="F7" s="13">
        <f>C7*D7*E7</f>
        <v/>
      </c>
      <c r="G7" s="39" t="n">
        <v>90</v>
      </c>
      <c r="H7" s="40">
        <f>F7*G7</f>
        <v/>
      </c>
      <c r="I7" s="41" t="n"/>
      <c r="J7" s="42" t="n"/>
      <c r="K7" s="42" t="n"/>
      <c r="L7" s="42">
        <f>I7*J7*K7</f>
        <v/>
      </c>
      <c r="M7" s="43" t="n">
        <v>150</v>
      </c>
      <c r="N7" s="44">
        <f>L7*M7</f>
        <v/>
      </c>
      <c r="O7" s="5" t="n">
        <v>0.85</v>
      </c>
      <c r="P7" s="45">
        <f>H7/O7+N7/O7</f>
        <v/>
      </c>
      <c r="R7" s="29" t="n"/>
    </row>
    <row r="8">
      <c r="A8" s="156" t="n">
        <v>2</v>
      </c>
      <c r="B8" s="4" t="inlineStr">
        <is>
          <t>Project Management</t>
        </is>
      </c>
      <c r="C8" s="13" t="n">
        <v>0.05</v>
      </c>
      <c r="D8" s="13" t="n">
        <v>1</v>
      </c>
      <c r="E8" s="13" t="n">
        <v>1</v>
      </c>
      <c r="F8" s="13">
        <f>C8*D8*E8</f>
        <v/>
      </c>
      <c r="G8" s="39">
        <f>(P25+P36+P62)</f>
        <v/>
      </c>
      <c r="H8" s="46">
        <f>F8*G8</f>
        <v/>
      </c>
      <c r="I8" s="47" t="n"/>
      <c r="J8" s="48" t="n"/>
      <c r="K8" s="48" t="n"/>
      <c r="L8" s="48">
        <f>I8*J8*K8</f>
        <v/>
      </c>
      <c r="M8" s="39" t="n">
        <v>150</v>
      </c>
      <c r="N8" s="46">
        <f>L8*M8</f>
        <v/>
      </c>
      <c r="O8" s="5" t="n">
        <v>0.85</v>
      </c>
      <c r="P8" s="49">
        <f>H8/O8+N8/O8</f>
        <v/>
      </c>
    </row>
    <row r="9">
      <c r="A9" s="156" t="n">
        <v>3</v>
      </c>
      <c r="B9" s="4" t="inlineStr">
        <is>
          <t>ESA Submissions</t>
        </is>
      </c>
      <c r="C9" s="13" t="n"/>
      <c r="D9" s="13" t="n"/>
      <c r="E9" s="13" t="n"/>
      <c r="F9" s="13">
        <f>C9*D9*E9</f>
        <v/>
      </c>
      <c r="G9" s="39" t="n">
        <v>2000</v>
      </c>
      <c r="H9" s="46">
        <f>F9*G9</f>
        <v/>
      </c>
      <c r="I9" s="47" t="n"/>
      <c r="J9" s="48" t="n"/>
      <c r="K9" s="48" t="n"/>
      <c r="L9" s="48">
        <f>I9*J9*K9</f>
        <v/>
      </c>
      <c r="M9" s="39" t="n">
        <v>0</v>
      </c>
      <c r="N9" s="46">
        <f>L9*M9</f>
        <v/>
      </c>
      <c r="O9" s="5" t="n">
        <v>0.85</v>
      </c>
      <c r="P9" s="50">
        <f>H9/O9+N9/O9</f>
        <v/>
      </c>
    </row>
    <row r="10">
      <c r="A10" s="156" t="n">
        <v>4</v>
      </c>
      <c r="B10" s="4" t="inlineStr">
        <is>
          <t>Misc. Subcontractors</t>
        </is>
      </c>
      <c r="C10" s="13" t="n">
        <v>0.05</v>
      </c>
      <c r="D10" s="13" t="n">
        <v>1</v>
      </c>
      <c r="E10" s="13" t="n">
        <v>1</v>
      </c>
      <c r="F10" s="13">
        <f>C10*D10*E10</f>
        <v/>
      </c>
      <c r="G10" s="39">
        <f>P36</f>
        <v/>
      </c>
      <c r="H10" s="46">
        <f>F10*G10</f>
        <v/>
      </c>
      <c r="I10" s="47" t="n"/>
      <c r="J10" s="48" t="n"/>
      <c r="K10" s="48" t="n"/>
      <c r="L10" s="48">
        <f>I10*J10*K10</f>
        <v/>
      </c>
      <c r="M10" s="39" t="n">
        <v>150</v>
      </c>
      <c r="N10" s="46">
        <f>L10*M10</f>
        <v/>
      </c>
      <c r="O10" s="5" t="n">
        <v>0.85</v>
      </c>
      <c r="P10" s="50">
        <f>H10/O10+N10/O10</f>
        <v/>
      </c>
    </row>
    <row r="11">
      <c r="A11" s="156" t="n">
        <v>5</v>
      </c>
      <c r="B11" s="4" t="inlineStr">
        <is>
          <t>Misc. Materials</t>
        </is>
      </c>
      <c r="C11" s="13" t="n">
        <v>0.05</v>
      </c>
      <c r="D11" s="13" t="n">
        <v>1</v>
      </c>
      <c r="E11" s="13" t="n">
        <v>1</v>
      </c>
      <c r="F11" s="13">
        <f>C11*D11*E11</f>
        <v/>
      </c>
      <c r="G11" s="39">
        <f>P62</f>
        <v/>
      </c>
      <c r="H11" s="46">
        <f>F11*G11</f>
        <v/>
      </c>
      <c r="I11" s="47" t="n"/>
      <c r="J11" s="48" t="n"/>
      <c r="K11" s="48" t="n"/>
      <c r="L11" s="48">
        <f>I11*J11*K11</f>
        <v/>
      </c>
      <c r="M11" s="39" t="n">
        <v>150</v>
      </c>
      <c r="N11" s="46">
        <f>L11*M11</f>
        <v/>
      </c>
      <c r="O11" s="5" t="n">
        <v>0.85</v>
      </c>
      <c r="P11" s="50">
        <f>H11/O11+N11/O11</f>
        <v/>
      </c>
    </row>
    <row r="12">
      <c r="A12" s="156" t="n">
        <v>6</v>
      </c>
      <c r="B12" s="4" t="inlineStr">
        <is>
          <t>Forman - site supervision and civil</t>
        </is>
      </c>
      <c r="C12" s="13" t="n"/>
      <c r="D12" s="13" t="n"/>
      <c r="E12" s="13" t="n"/>
      <c r="F12" s="13">
        <f>C12*D12*E12</f>
        <v/>
      </c>
      <c r="G12" s="39" t="n">
        <v>92</v>
      </c>
      <c r="H12" s="46">
        <f>F12*G12</f>
        <v/>
      </c>
      <c r="I12" s="47" t="n"/>
      <c r="J12" s="48" t="n"/>
      <c r="K12" s="48" t="n"/>
      <c r="L12" s="48">
        <f>I12*J12*K12</f>
        <v/>
      </c>
      <c r="M12" s="39" t="n">
        <v>150</v>
      </c>
      <c r="N12" s="46">
        <f>L12*M12</f>
        <v/>
      </c>
      <c r="O12" s="5" t="n">
        <v>0.85</v>
      </c>
      <c r="P12" s="50">
        <f>H12/O12+N12/O12</f>
        <v/>
      </c>
    </row>
    <row r="13">
      <c r="A13" s="156" t="n">
        <v>7</v>
      </c>
      <c r="B13" s="4" t="inlineStr">
        <is>
          <t>Lodging</t>
        </is>
      </c>
      <c r="C13" s="13" t="n">
        <v>1</v>
      </c>
      <c r="D13" s="13" t="n">
        <v>1</v>
      </c>
      <c r="E13" s="13" t="n">
        <v>1</v>
      </c>
      <c r="F13" s="13">
        <f>C13*D13*E13</f>
        <v/>
      </c>
      <c r="G13" s="39" t="n">
        <v>0</v>
      </c>
      <c r="H13" s="46">
        <f>F13*G13</f>
        <v/>
      </c>
      <c r="I13" s="47" t="n"/>
      <c r="J13" s="48" t="n"/>
      <c r="K13" s="48" t="n"/>
      <c r="L13" s="48">
        <f>I13*J13*K13</f>
        <v/>
      </c>
      <c r="M13" s="39" t="n">
        <v>175</v>
      </c>
      <c r="N13" s="46">
        <f>L13*M13</f>
        <v/>
      </c>
      <c r="O13" s="5" t="n">
        <v>0.85</v>
      </c>
      <c r="P13" s="50">
        <f>H13/O13+N13/O13</f>
        <v/>
      </c>
    </row>
    <row r="14" ht="15.75" customFormat="1" customHeight="1" s="21" thickBot="1">
      <c r="A14" s="151" t="inlineStr">
        <is>
          <t>Total Management</t>
        </is>
      </c>
      <c r="B14" s="200" t="n"/>
      <c r="C14" s="200" t="n"/>
      <c r="D14" s="200" t="n"/>
      <c r="E14" s="201" t="n"/>
      <c r="F14" s="8">
        <f>SUM(F7:F13)</f>
        <v/>
      </c>
      <c r="G14" s="8" t="n"/>
      <c r="H14" s="51">
        <f>SUM(H7:H13)</f>
        <v/>
      </c>
      <c r="I14" s="224" t="n"/>
      <c r="J14" s="225" t="n"/>
      <c r="K14" s="226" t="n"/>
      <c r="L14" s="52">
        <f>SUM(L7:L13)</f>
        <v/>
      </c>
      <c r="M14" s="53" t="n"/>
      <c r="N14" s="54">
        <f>SUM(N7:N13)</f>
        <v/>
      </c>
      <c r="O14" s="55" t="n"/>
      <c r="P14" s="56">
        <f>SUM(P7:P13)</f>
        <v/>
      </c>
    </row>
    <row r="15" ht="16.5" customHeight="1" thickTop="1">
      <c r="A15" s="155" t="n"/>
      <c r="B15" s="200" t="n"/>
      <c r="C15" s="200" t="n"/>
      <c r="D15" s="200" t="n"/>
      <c r="E15" s="200" t="n"/>
      <c r="F15" s="200" t="n"/>
      <c r="G15" s="200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1" t="n"/>
    </row>
    <row r="16" ht="16.5" customHeight="1" thickBot="1">
      <c r="A16" s="151" t="inlineStr">
        <is>
          <t>Labour</t>
        </is>
      </c>
      <c r="B16" s="200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0" t="n"/>
      <c r="M16" s="200" t="n"/>
      <c r="N16" s="200" t="n"/>
      <c r="O16" s="200" t="n"/>
      <c r="P16" s="201" t="n"/>
    </row>
    <row r="17" ht="16.5" customHeight="1" thickTop="1">
      <c r="A17" s="155" t="n">
        <v>1</v>
      </c>
      <c r="B17" s="31" t="inlineStr">
        <is>
          <t>Mob/demob</t>
        </is>
      </c>
      <c r="C17" s="5" t="n"/>
      <c r="D17" s="5" t="n"/>
      <c r="E17" s="5" t="n"/>
      <c r="F17" s="5">
        <f>C17*D17*E17</f>
        <v/>
      </c>
      <c r="G17" s="57" t="n">
        <v>108</v>
      </c>
      <c r="H17" s="58">
        <f>F17*G17</f>
        <v/>
      </c>
      <c r="I17" s="41" t="n"/>
      <c r="J17" s="42" t="n"/>
      <c r="K17" s="42" t="n"/>
      <c r="L17" s="42">
        <f>I17*J17*K17</f>
        <v/>
      </c>
      <c r="M17" s="43" t="n">
        <v>195</v>
      </c>
      <c r="N17" s="44">
        <f>L17*M17</f>
        <v/>
      </c>
      <c r="O17" s="5" t="n">
        <v>0.85</v>
      </c>
      <c r="P17" s="45">
        <f>H17/O17+N17/O17</f>
        <v/>
      </c>
    </row>
    <row r="18">
      <c r="A18" s="155" t="n">
        <v>2</v>
      </c>
      <c r="B18" s="31" t="inlineStr">
        <is>
          <t>install</t>
        </is>
      </c>
      <c r="C18" s="5" t="n"/>
      <c r="D18" s="5" t="n"/>
      <c r="E18" s="5" t="n"/>
      <c r="F18" s="5">
        <f>C18*D18*E18</f>
        <v/>
      </c>
      <c r="G18" s="57" t="n">
        <v>108</v>
      </c>
      <c r="H18" s="58">
        <f>F18*G18</f>
        <v/>
      </c>
      <c r="I18" s="59" t="n"/>
      <c r="J18" s="60" t="n"/>
      <c r="K18" s="60" t="n"/>
      <c r="L18" s="60">
        <f>I18*J18*K18</f>
        <v/>
      </c>
      <c r="M18" s="57" t="n">
        <v>195</v>
      </c>
      <c r="N18" s="61">
        <f>L18*M18</f>
        <v/>
      </c>
      <c r="O18" s="5" t="n">
        <v>0.85</v>
      </c>
      <c r="P18" s="49">
        <f>H18/O18+N18/O18</f>
        <v/>
      </c>
      <c r="U18" s="62" t="n"/>
    </row>
    <row r="19">
      <c r="A19" s="155" t="n">
        <v>3</v>
      </c>
      <c r="B19" s="18" t="inlineStr">
        <is>
          <t>assist</t>
        </is>
      </c>
      <c r="C19" s="5" t="n"/>
      <c r="D19" s="5" t="n"/>
      <c r="E19" s="5" t="n"/>
      <c r="F19" s="5">
        <f>C19*D19*E19</f>
        <v/>
      </c>
      <c r="G19" s="57" t="n">
        <v>108</v>
      </c>
      <c r="H19" s="58">
        <f>F19*G19</f>
        <v/>
      </c>
      <c r="I19" s="59" t="n"/>
      <c r="J19" s="60" t="n"/>
      <c r="K19" s="60" t="n"/>
      <c r="L19" s="60">
        <f>I19*J19*K19</f>
        <v/>
      </c>
      <c r="M19" s="57" t="n">
        <v>195</v>
      </c>
      <c r="N19" s="61">
        <f>L19*M19</f>
        <v/>
      </c>
      <c r="O19" s="5" t="n">
        <v>0.85</v>
      </c>
      <c r="P19" s="49">
        <f>H19/O19+N19/O19</f>
        <v/>
      </c>
      <c r="R19" s="211" t="n"/>
      <c r="U19" s="62" t="n"/>
    </row>
    <row r="20">
      <c r="A20" s="155" t="n">
        <v>4</v>
      </c>
      <c r="B20" s="18" t="n"/>
      <c r="C20" s="5" t="n"/>
      <c r="D20" s="5" t="n"/>
      <c r="E20" s="5" t="n"/>
      <c r="F20" s="5">
        <f>C20*D20*E20</f>
        <v/>
      </c>
      <c r="G20" s="57" t="n">
        <v>108</v>
      </c>
      <c r="H20" s="58">
        <f>F20*G20</f>
        <v/>
      </c>
      <c r="I20" s="59" t="n"/>
      <c r="J20" s="60" t="n"/>
      <c r="K20" s="60" t="n"/>
      <c r="L20" s="60">
        <f>I20*J20*K20</f>
        <v/>
      </c>
      <c r="M20" s="57" t="n">
        <v>195</v>
      </c>
      <c r="N20" s="61">
        <f>L20*M20</f>
        <v/>
      </c>
      <c r="O20" s="5" t="n">
        <v>0.85</v>
      </c>
      <c r="P20" s="49">
        <f>H20/O20+N20/O20</f>
        <v/>
      </c>
      <c r="U20" s="62" t="n"/>
    </row>
    <row r="21">
      <c r="A21" s="155" t="n">
        <v>5</v>
      </c>
      <c r="B21" s="18" t="n"/>
      <c r="C21" s="5" t="n"/>
      <c r="D21" s="5" t="n"/>
      <c r="E21" s="5" t="n"/>
      <c r="F21" s="5">
        <f>C21*D21*E21</f>
        <v/>
      </c>
      <c r="G21" s="57" t="n">
        <v>108</v>
      </c>
      <c r="H21" s="58">
        <f>F21*G21</f>
        <v/>
      </c>
      <c r="I21" s="59" t="n"/>
      <c r="J21" s="60" t="n"/>
      <c r="K21" s="60" t="n"/>
      <c r="L21" s="60">
        <f>I21*J21*K21</f>
        <v/>
      </c>
      <c r="M21" s="57" t="n">
        <v>195</v>
      </c>
      <c r="N21" s="61">
        <f>L21*M21</f>
        <v/>
      </c>
      <c r="O21" s="5" t="n">
        <v>0.85</v>
      </c>
      <c r="P21" s="49">
        <f>H21/O21+N21/O21</f>
        <v/>
      </c>
    </row>
    <row r="22">
      <c r="A22" s="155" t="n">
        <v>6</v>
      </c>
      <c r="B22" s="18" t="n"/>
      <c r="C22" s="5" t="n"/>
      <c r="D22" s="5" t="n"/>
      <c r="E22" s="5" t="n"/>
      <c r="F22" s="5">
        <f>C22*D22*E22</f>
        <v/>
      </c>
      <c r="G22" s="57" t="n">
        <v>108</v>
      </c>
      <c r="H22" s="58">
        <f>F22*G22</f>
        <v/>
      </c>
      <c r="I22" s="59" t="n"/>
      <c r="J22" s="60" t="n"/>
      <c r="K22" s="60" t="n"/>
      <c r="L22" s="60">
        <f>I22*J22*K22</f>
        <v/>
      </c>
      <c r="M22" s="57" t="n">
        <v>195</v>
      </c>
      <c r="N22" s="61">
        <f>L22*M22</f>
        <v/>
      </c>
      <c r="O22" s="5" t="n">
        <v>0.85</v>
      </c>
      <c r="P22" s="49">
        <f>H22/O22+N22/O22</f>
        <v/>
      </c>
    </row>
    <row r="23">
      <c r="A23" s="155" t="n">
        <v>7</v>
      </c>
      <c r="B23" s="18" t="n"/>
      <c r="C23" s="5" t="n"/>
      <c r="D23" s="5" t="n"/>
      <c r="E23" s="5" t="n"/>
      <c r="F23" s="5">
        <f>C23*D23*E23</f>
        <v/>
      </c>
      <c r="G23" s="57" t="n">
        <v>108</v>
      </c>
      <c r="H23" s="58">
        <f>F23*G23</f>
        <v/>
      </c>
      <c r="I23" s="59" t="n"/>
      <c r="J23" s="60" t="n"/>
      <c r="K23" s="60" t="n"/>
      <c r="L23" s="60">
        <f>I23*J23*K23</f>
        <v/>
      </c>
      <c r="M23" s="57" t="n">
        <v>195</v>
      </c>
      <c r="N23" s="61">
        <f>L23*M23</f>
        <v/>
      </c>
      <c r="O23" s="5" t="n">
        <v>0.85</v>
      </c>
      <c r="P23" s="49">
        <f>H23/O23+N23/O23</f>
        <v/>
      </c>
    </row>
    <row r="24">
      <c r="A24" s="155" t="n">
        <v>8</v>
      </c>
      <c r="B24" s="18" t="n"/>
      <c r="C24" s="5" t="n"/>
      <c r="D24" s="5" t="n"/>
      <c r="E24" s="5" t="n"/>
      <c r="F24" s="5">
        <f>C24*D24*E24</f>
        <v/>
      </c>
      <c r="G24" s="57" t="n">
        <v>108</v>
      </c>
      <c r="H24" s="58">
        <f>F24*G24</f>
        <v/>
      </c>
      <c r="I24" s="59" t="n"/>
      <c r="J24" s="60" t="n"/>
      <c r="K24" s="60" t="n"/>
      <c r="L24" s="60">
        <f>I24*J24*K24</f>
        <v/>
      </c>
      <c r="M24" s="57" t="n">
        <v>195</v>
      </c>
      <c r="N24" s="61">
        <f>L24*M24</f>
        <v/>
      </c>
      <c r="O24" s="5" t="n">
        <v>0.85</v>
      </c>
      <c r="P24" s="49">
        <f>H24/O24+N24/O24</f>
        <v/>
      </c>
    </row>
    <row r="25" ht="15.75" customHeight="1">
      <c r="A25" s="151" t="inlineStr">
        <is>
          <t>Sub Total Labour</t>
        </is>
      </c>
      <c r="B25" s="200" t="n"/>
      <c r="C25" s="200" t="n"/>
      <c r="D25" s="200" t="n"/>
      <c r="E25" s="201" t="n"/>
      <c r="F25" s="8">
        <f>SUM(F17:F24)</f>
        <v/>
      </c>
      <c r="G25" s="8" t="n"/>
      <c r="H25" s="64">
        <f>SUM(H17:H24)</f>
        <v/>
      </c>
      <c r="I25" s="227" t="n"/>
      <c r="J25" s="202" t="n"/>
      <c r="K25" s="203" t="n"/>
      <c r="L25" s="65">
        <f>SUM(L17:L24)</f>
        <v/>
      </c>
      <c r="M25" s="53" t="n"/>
      <c r="N25" s="66">
        <f>SUM(N17:N24)</f>
        <v/>
      </c>
      <c r="O25" s="228" t="n"/>
      <c r="P25" s="67">
        <f>SUM(P17:P24)</f>
        <v/>
      </c>
      <c r="S25" s="22" t="n"/>
      <c r="T25" s="22" t="n"/>
    </row>
    <row r="26" ht="15.75" customFormat="1" customHeight="1" s="21" thickBot="1">
      <c r="A26" s="151" t="inlineStr">
        <is>
          <t>Subtotal Labour</t>
        </is>
      </c>
      <c r="B26" s="200" t="n"/>
      <c r="C26" s="200" t="n"/>
      <c r="D26" s="200" t="n"/>
      <c r="E26" s="201" t="n"/>
      <c r="F26" s="8">
        <f>F14+F25</f>
        <v/>
      </c>
      <c r="G26" s="229" t="n"/>
      <c r="H26" s="64">
        <f>H14+H25</f>
        <v/>
      </c>
      <c r="I26" s="230" t="n"/>
      <c r="J26" s="231" t="n"/>
      <c r="K26" s="232" t="n"/>
      <c r="L26" s="52">
        <f>L14+L25</f>
        <v/>
      </c>
      <c r="M26" s="233" t="n"/>
      <c r="N26" s="68">
        <f>N14+N25</f>
        <v/>
      </c>
      <c r="O26" s="205" t="n"/>
      <c r="P26" s="56">
        <f>P14+P25</f>
        <v/>
      </c>
      <c r="S26" s="22" t="n"/>
      <c r="T26" s="22" t="n"/>
    </row>
    <row r="27" ht="34.5" customFormat="1" customHeight="1" s="21" thickBot="1" thickTop="1">
      <c r="A27" s="147" t="inlineStr">
        <is>
          <t>Subcontractors</t>
        </is>
      </c>
      <c r="B27" s="202" t="n"/>
      <c r="C27" s="202" t="n"/>
      <c r="D27" s="202" t="n"/>
      <c r="E27" s="202" t="n"/>
      <c r="F27" s="202" t="n"/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S27" s="22" t="n"/>
      <c r="T27" s="22" t="n"/>
      <c r="U27" s="22" t="n"/>
      <c r="V27" s="22" t="n"/>
      <c r="W27" s="22" t="n"/>
    </row>
    <row r="28" ht="19.5" customFormat="1" customHeight="1" s="21" thickBot="1">
      <c r="A28" s="69" t="inlineStr">
        <is>
          <t>Item</t>
        </is>
      </c>
      <c r="B28" s="69" t="inlineStr">
        <is>
          <t>Task</t>
        </is>
      </c>
      <c r="C28" s="35" t="inlineStr">
        <is>
          <t>Surcharge</t>
        </is>
      </c>
      <c r="D28" s="199" t="n"/>
      <c r="E28" s="35" t="inlineStr">
        <is>
          <t>Days/Units</t>
        </is>
      </c>
      <c r="F28" s="199" t="n"/>
      <c r="G28" s="36" t="inlineStr">
        <is>
          <t>Other</t>
        </is>
      </c>
      <c r="H28" s="199" t="n"/>
      <c r="I28" s="36" t="inlineStr">
        <is>
          <t>Total Surcharge</t>
        </is>
      </c>
      <c r="J28" s="199" t="n"/>
      <c r="K28" s="36" t="inlineStr">
        <is>
          <t>Unit Price</t>
        </is>
      </c>
      <c r="L28" s="199" t="n"/>
      <c r="M28" s="36" t="inlineStr">
        <is>
          <t>Subtotal 1</t>
        </is>
      </c>
      <c r="N28" s="199" t="n"/>
      <c r="O28" s="35" t="inlineStr">
        <is>
          <t>Margin</t>
        </is>
      </c>
      <c r="P28" s="186" t="inlineStr">
        <is>
          <t>Subtotal 2</t>
        </is>
      </c>
      <c r="S28" s="22" t="n"/>
      <c r="T28" s="22" t="n"/>
      <c r="U28" s="22" t="n"/>
      <c r="V28" s="22" t="n"/>
      <c r="W28" s="22" t="n"/>
    </row>
    <row r="29" ht="16.5" customFormat="1" customHeight="1" s="21" thickTop="1">
      <c r="A29" s="13" t="n">
        <v>1</v>
      </c>
      <c r="B29" s="14" t="inlineStr">
        <is>
          <t>MG Power and Associates Inc</t>
        </is>
      </c>
      <c r="C29" s="234" t="n"/>
      <c r="D29" s="235" t="n"/>
      <c r="E29" s="234" t="n"/>
      <c r="F29" s="235" t="n"/>
      <c r="G29" s="234" t="n"/>
      <c r="H29" s="235" t="n"/>
      <c r="I29" s="236">
        <f>C29*E29*G29</f>
        <v/>
      </c>
      <c r="J29" s="220" t="n"/>
      <c r="K29" s="237" t="n"/>
      <c r="L29" s="235" t="n"/>
      <c r="M29" s="238">
        <f>K29*I29</f>
        <v/>
      </c>
      <c r="N29" s="220" t="n"/>
      <c r="O29" s="5" t="n">
        <v>0.85</v>
      </c>
      <c r="P29" s="45">
        <f>M29/O29</f>
        <v/>
      </c>
      <c r="S29" s="22" t="n"/>
      <c r="T29" s="22" t="n"/>
      <c r="U29" s="22" t="n"/>
      <c r="V29" s="22" t="n"/>
      <c r="W29" s="22" t="n"/>
    </row>
    <row r="30" customFormat="1" s="21">
      <c r="A30" s="5" t="n">
        <v>2</v>
      </c>
      <c r="B30" s="18" t="inlineStr">
        <is>
          <t xml:space="preserve">parking </t>
        </is>
      </c>
      <c r="C30" s="5" t="n"/>
      <c r="D30" s="201" t="n"/>
      <c r="E30" s="5" t="n"/>
      <c r="F30" s="201" t="n"/>
      <c r="G30" s="5" t="n"/>
      <c r="H30" s="201" t="n"/>
      <c r="I30" s="5">
        <f>C30*E30*G30</f>
        <v/>
      </c>
      <c r="J30" s="201" t="n"/>
      <c r="K30" s="239" t="n"/>
      <c r="L30" s="201" t="n"/>
      <c r="M30" s="121">
        <f>K30*I30</f>
        <v/>
      </c>
      <c r="N30" s="201" t="n"/>
      <c r="O30" s="5" t="n">
        <v>0.85</v>
      </c>
      <c r="P30" s="50">
        <f>M30/O30</f>
        <v/>
      </c>
      <c r="S30" s="22" t="n"/>
      <c r="T30" s="22" t="n"/>
      <c r="U30" s="22" t="n"/>
      <c r="V30" s="22" t="n"/>
      <c r="W30" s="22" t="n"/>
    </row>
    <row r="31" customFormat="1" s="21">
      <c r="A31" s="5" t="n">
        <v>3</v>
      </c>
      <c r="B31" s="18" t="inlineStr">
        <is>
          <t>Millwrighting</t>
        </is>
      </c>
      <c r="C31" s="5" t="n"/>
      <c r="D31" s="201" t="n"/>
      <c r="E31" s="5" t="n"/>
      <c r="F31" s="201" t="n"/>
      <c r="G31" s="5" t="n"/>
      <c r="H31" s="201" t="n"/>
      <c r="I31" s="5">
        <f>C31*E31*G31</f>
        <v/>
      </c>
      <c r="J31" s="201" t="n"/>
      <c r="K31" s="239" t="n"/>
      <c r="L31" s="201" t="n"/>
      <c r="M31" s="121">
        <f>K31*I31</f>
        <v/>
      </c>
      <c r="N31" s="201" t="n"/>
      <c r="O31" s="5" t="n">
        <v>0.85</v>
      </c>
      <c r="P31" s="50">
        <f>M31/O31</f>
        <v/>
      </c>
      <c r="S31" s="22" t="n"/>
      <c r="T31" s="22" t="n"/>
      <c r="U31" s="22" t="n"/>
      <c r="V31" s="22" t="n"/>
      <c r="W31" s="22" t="n"/>
    </row>
    <row r="32" customFormat="1" s="21">
      <c r="A32" s="5" t="n">
        <v>4</v>
      </c>
      <c r="B32" s="18" t="inlineStr">
        <is>
          <t>Temp Door</t>
        </is>
      </c>
      <c r="C32" s="5" t="n"/>
      <c r="D32" s="201" t="n"/>
      <c r="E32" s="5" t="n"/>
      <c r="F32" s="201" t="n"/>
      <c r="G32" s="5" t="n"/>
      <c r="H32" s="201" t="n"/>
      <c r="I32" s="5">
        <f>C32*E32*G32</f>
        <v/>
      </c>
      <c r="J32" s="201" t="n"/>
      <c r="K32" s="239" t="n"/>
      <c r="L32" s="201" t="n"/>
      <c r="M32" s="121">
        <f>K32*I32</f>
        <v/>
      </c>
      <c r="N32" s="201" t="n"/>
      <c r="O32" s="5" t="n">
        <v>0.85</v>
      </c>
      <c r="P32" s="50">
        <f>M32/O32</f>
        <v/>
      </c>
      <c r="S32" s="22" t="n"/>
      <c r="T32" s="22" t="n"/>
      <c r="U32" s="22" t="n"/>
      <c r="V32" s="22" t="n"/>
      <c r="W32" s="22" t="n"/>
    </row>
    <row r="33" customFormat="1" s="21">
      <c r="A33" s="5" t="n">
        <v>5</v>
      </c>
      <c r="B33" s="18" t="inlineStr">
        <is>
          <t>Bonding Costs</t>
        </is>
      </c>
      <c r="C33" s="5" t="n"/>
      <c r="D33" s="201" t="n"/>
      <c r="E33" s="5" t="n"/>
      <c r="F33" s="201" t="n"/>
      <c r="G33" s="5" t="n"/>
      <c r="H33" s="201" t="n"/>
      <c r="I33" s="5">
        <f>C33*E33*G33</f>
        <v/>
      </c>
      <c r="J33" s="201" t="n"/>
      <c r="K33" s="239" t="n"/>
      <c r="L33" s="201" t="n"/>
      <c r="M33" s="121">
        <f>K33*I33</f>
        <v/>
      </c>
      <c r="N33" s="201" t="n"/>
      <c r="O33" s="5" t="n">
        <v>0.85</v>
      </c>
      <c r="P33" s="50">
        <f>M33/O33</f>
        <v/>
      </c>
      <c r="S33" s="22" t="n"/>
      <c r="T33" s="22" t="n"/>
      <c r="U33" s="22" t="n"/>
      <c r="V33" s="22" t="n"/>
      <c r="W33" s="22" t="n"/>
    </row>
    <row r="34" customFormat="1" s="21">
      <c r="A34" s="5" t="n"/>
      <c r="B34" s="18" t="n"/>
      <c r="C34" s="5" t="n"/>
      <c r="D34" s="201" t="n"/>
      <c r="E34" s="5" t="n"/>
      <c r="F34" s="201" t="n"/>
      <c r="G34" s="5" t="n"/>
      <c r="H34" s="201" t="n"/>
      <c r="I34" s="5">
        <f>C34*E34*G34</f>
        <v/>
      </c>
      <c r="J34" s="201" t="n"/>
      <c r="K34" s="239" t="n"/>
      <c r="L34" s="201" t="n"/>
      <c r="M34" s="121">
        <f>K34*I34</f>
        <v/>
      </c>
      <c r="N34" s="201" t="n"/>
      <c r="O34" s="5" t="n">
        <v>0.85</v>
      </c>
      <c r="P34" s="50">
        <f>M34/O34</f>
        <v/>
      </c>
      <c r="S34" s="22" t="n"/>
      <c r="T34" s="22" t="n"/>
      <c r="U34" s="22" t="n"/>
      <c r="V34" s="22" t="n"/>
      <c r="W34" s="22" t="n"/>
    </row>
    <row r="35" customFormat="1" s="21">
      <c r="A35" s="5" t="n"/>
      <c r="B35" s="18" t="n"/>
      <c r="C35" s="5" t="n"/>
      <c r="D35" s="201" t="n"/>
      <c r="E35" s="5" t="n"/>
      <c r="F35" s="201" t="n"/>
      <c r="G35" s="5" t="n"/>
      <c r="H35" s="201" t="n"/>
      <c r="I35" s="13">
        <f>C35*E35*G35</f>
        <v/>
      </c>
      <c r="J35" s="206" t="n"/>
      <c r="K35" s="239" t="n"/>
      <c r="L35" s="201" t="n"/>
      <c r="M35" s="15">
        <f>K35*I35</f>
        <v/>
      </c>
      <c r="N35" s="206" t="n"/>
      <c r="O35" s="5" t="n">
        <v>0.85</v>
      </c>
      <c r="P35" s="50">
        <f>M35/O35</f>
        <v/>
      </c>
      <c r="S35" s="22" t="n"/>
      <c r="T35" s="22" t="n"/>
      <c r="U35" s="22" t="n"/>
      <c r="V35" s="22" t="n"/>
      <c r="W35" s="22" t="n"/>
    </row>
    <row r="36" ht="15.75" customFormat="1" customHeight="1" s="21" thickBot="1">
      <c r="A36" s="128" t="inlineStr">
        <is>
          <t>Subtotal Subcontractors</t>
        </is>
      </c>
      <c r="B36" s="240" t="n"/>
      <c r="C36" s="240" t="n"/>
      <c r="D36" s="240" t="n"/>
      <c r="E36" s="240" t="n"/>
      <c r="F36" s="240" t="n"/>
      <c r="G36" s="240" t="n"/>
      <c r="H36" s="240" t="n"/>
      <c r="I36" s="240" t="n"/>
      <c r="J36" s="240" t="n"/>
      <c r="K36" s="240" t="n"/>
      <c r="L36" s="240" t="n"/>
      <c r="M36" s="240" t="n"/>
      <c r="N36" s="240" t="n"/>
      <c r="O36" s="240" t="n"/>
      <c r="P36" s="56">
        <f>SUM(P29:P35)</f>
        <v/>
      </c>
      <c r="S36" s="22" t="n"/>
      <c r="T36" s="22" t="n"/>
      <c r="U36" s="22" t="n"/>
      <c r="V36" s="22" t="n"/>
      <c r="W36" s="22" t="n"/>
    </row>
    <row r="37" ht="34.5" customHeight="1" thickBot="1">
      <c r="A37" s="150" t="inlineStr">
        <is>
          <t>Materials and Equipment</t>
        </is>
      </c>
      <c r="B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9" t="n"/>
      <c r="S37" s="22" t="n"/>
      <c r="T37" s="22" t="n"/>
      <c r="U37" s="22" t="n"/>
      <c r="V37" s="22" t="n"/>
      <c r="W37" s="22" t="n"/>
    </row>
    <row r="38" ht="19.5" customHeight="1" thickBot="1">
      <c r="A38" s="69" t="inlineStr">
        <is>
          <t>Item</t>
        </is>
      </c>
      <c r="B38" s="69" t="inlineStr">
        <is>
          <t>Material Item</t>
        </is>
      </c>
      <c r="C38" s="35" t="inlineStr">
        <is>
          <t>Surcharge</t>
        </is>
      </c>
      <c r="D38" s="199" t="n"/>
      <c r="E38" s="35" t="inlineStr">
        <is>
          <t>Units/Length</t>
        </is>
      </c>
      <c r="F38" s="199" t="n"/>
      <c r="G38" s="36" t="inlineStr">
        <is>
          <t>Other</t>
        </is>
      </c>
      <c r="H38" s="199" t="n"/>
      <c r="I38" s="36" t="inlineStr">
        <is>
          <t>Total Surcharge</t>
        </is>
      </c>
      <c r="J38" s="199" t="n"/>
      <c r="K38" s="36" t="inlineStr">
        <is>
          <t>Unit Price</t>
        </is>
      </c>
      <c r="L38" s="199" t="n"/>
      <c r="M38" s="36" t="inlineStr">
        <is>
          <t>Subtotal 1</t>
        </is>
      </c>
      <c r="N38" s="199" t="n"/>
      <c r="O38" s="35" t="inlineStr">
        <is>
          <t>Margin</t>
        </is>
      </c>
      <c r="P38" s="186" t="inlineStr">
        <is>
          <t>Subtotal 2</t>
        </is>
      </c>
      <c r="S38" s="22" t="n"/>
      <c r="T38" s="22" t="n"/>
      <c r="U38" s="22" t="n"/>
      <c r="V38" s="22" t="n"/>
      <c r="W38" s="22" t="n"/>
    </row>
    <row r="39" ht="16.5" customHeight="1" thickTop="1">
      <c r="A39" s="13" t="n">
        <v>1</v>
      </c>
      <c r="B39" s="14" t="inlineStr">
        <is>
          <t>ABB SWGR</t>
        </is>
      </c>
      <c r="C39" s="236" t="n"/>
      <c r="D39" s="220" t="n"/>
      <c r="E39" s="236" t="n"/>
      <c r="F39" s="220" t="n"/>
      <c r="G39" s="236" t="n"/>
      <c r="H39" s="220" t="n"/>
      <c r="I39" s="236">
        <f>G39*E39*C39</f>
        <v/>
      </c>
      <c r="J39" s="220" t="n"/>
      <c r="K39" s="241" t="n"/>
      <c r="L39" s="220" t="n"/>
      <c r="M39" s="238">
        <f>K39*I39</f>
        <v/>
      </c>
      <c r="N39" s="220" t="n"/>
      <c r="O39" s="5" t="n">
        <v>0.85</v>
      </c>
      <c r="P39" s="70">
        <f>M39/O39</f>
        <v/>
      </c>
      <c r="S39" s="22" t="n"/>
      <c r="T39" s="22" t="n"/>
      <c r="U39" s="22" t="n"/>
      <c r="V39" s="22" t="n"/>
      <c r="W39" s="22" t="n"/>
    </row>
    <row r="40" customFormat="1" s="22">
      <c r="A40" s="13" t="n">
        <v>2</v>
      </c>
      <c r="B40" s="18" t="inlineStr">
        <is>
          <t>parking</t>
        </is>
      </c>
      <c r="C40" s="5" t="n"/>
      <c r="D40" s="201" t="n"/>
      <c r="E40" s="5" t="n"/>
      <c r="F40" s="201" t="n"/>
      <c r="G40" s="5" t="n"/>
      <c r="H40" s="201" t="n"/>
      <c r="I40" s="5">
        <f>G40*E40*C40</f>
        <v/>
      </c>
      <c r="J40" s="201" t="n"/>
      <c r="K40" s="239" t="n"/>
      <c r="L40" s="201" t="n"/>
      <c r="M40" s="121">
        <f>K40*I40</f>
        <v/>
      </c>
      <c r="N40" s="201" t="n"/>
      <c r="O40" s="5" t="n">
        <v>0.85</v>
      </c>
      <c r="P40" s="71">
        <f>M40/O40</f>
        <v/>
      </c>
    </row>
    <row r="41" customFormat="1" s="22">
      <c r="A41" s="13" t="n">
        <v>3</v>
      </c>
      <c r="B41" s="18" t="n"/>
      <c r="C41" s="5" t="n"/>
      <c r="D41" s="201" t="n"/>
      <c r="E41" s="5" t="n"/>
      <c r="F41" s="201" t="n"/>
      <c r="G41" s="5" t="n"/>
      <c r="H41" s="201" t="n"/>
      <c r="I41" s="5">
        <f>G41*E41*C41</f>
        <v/>
      </c>
      <c r="J41" s="201" t="n"/>
      <c r="K41" s="239" t="n"/>
      <c r="L41" s="201" t="n"/>
      <c r="M41" s="121">
        <f>K41*I41</f>
        <v/>
      </c>
      <c r="N41" s="201" t="n"/>
      <c r="O41" s="5" t="n">
        <v>0.85</v>
      </c>
      <c r="P41" s="71">
        <f>M41/O41</f>
        <v/>
      </c>
    </row>
    <row r="42" customFormat="1" s="22">
      <c r="A42" s="13" t="n">
        <v>4</v>
      </c>
      <c r="B42" s="18" t="n"/>
      <c r="C42" s="5" t="n"/>
      <c r="D42" s="201" t="n"/>
      <c r="E42" s="5" t="n"/>
      <c r="F42" s="201" t="n"/>
      <c r="G42" s="5" t="n"/>
      <c r="H42" s="201" t="n"/>
      <c r="I42" s="5">
        <f>G42*E42*C42</f>
        <v/>
      </c>
      <c r="J42" s="201" t="n"/>
      <c r="K42" s="239" t="n"/>
      <c r="L42" s="201" t="n"/>
      <c r="M42" s="121">
        <f>K42*I42</f>
        <v/>
      </c>
      <c r="N42" s="201" t="n"/>
      <c r="O42" s="5" t="n">
        <v>0.85</v>
      </c>
      <c r="P42" s="71">
        <f>M42/O42</f>
        <v/>
      </c>
    </row>
    <row r="43" customFormat="1" s="22">
      <c r="A43" s="13" t="n">
        <v>5</v>
      </c>
      <c r="B43" s="18" t="n"/>
      <c r="C43" s="5" t="n"/>
      <c r="D43" s="201" t="n"/>
      <c r="E43" s="5" t="n"/>
      <c r="F43" s="201" t="n"/>
      <c r="G43" s="5" t="n"/>
      <c r="H43" s="201" t="n"/>
      <c r="I43" s="5">
        <f>G43*E43*C43</f>
        <v/>
      </c>
      <c r="J43" s="201" t="n"/>
      <c r="K43" s="239" t="n"/>
      <c r="L43" s="201" t="n"/>
      <c r="M43" s="121">
        <f>K43*I43</f>
        <v/>
      </c>
      <c r="N43" s="201" t="n"/>
      <c r="O43" s="5" t="n">
        <v>0.85</v>
      </c>
      <c r="P43" s="71">
        <f>M43/O43</f>
        <v/>
      </c>
    </row>
    <row r="44" customFormat="1" s="22">
      <c r="A44" s="13" t="n">
        <v>6</v>
      </c>
      <c r="B44" s="18" t="n"/>
      <c r="C44" s="5" t="n"/>
      <c r="D44" s="201" t="n"/>
      <c r="E44" s="5" t="n"/>
      <c r="F44" s="201" t="n"/>
      <c r="G44" s="5" t="n"/>
      <c r="H44" s="201" t="n"/>
      <c r="I44" s="5">
        <f>G44*E44*C44</f>
        <v/>
      </c>
      <c r="J44" s="201" t="n"/>
      <c r="K44" s="239" t="n"/>
      <c r="L44" s="201" t="n"/>
      <c r="M44" s="121">
        <f>K44*I44</f>
        <v/>
      </c>
      <c r="N44" s="201" t="n"/>
      <c r="O44" s="5" t="n">
        <v>0.85</v>
      </c>
      <c r="P44" s="71">
        <f>M44/O44</f>
        <v/>
      </c>
    </row>
    <row r="45" customFormat="1" s="22">
      <c r="A45" s="13" t="n">
        <v>7</v>
      </c>
      <c r="B45" s="18" t="n"/>
      <c r="C45" s="5" t="n"/>
      <c r="D45" s="201" t="n"/>
      <c r="E45" s="5" t="n"/>
      <c r="F45" s="201" t="n"/>
      <c r="G45" s="5" t="n"/>
      <c r="H45" s="201" t="n"/>
      <c r="I45" s="5">
        <f>G45*E45*C45</f>
        <v/>
      </c>
      <c r="J45" s="201" t="n"/>
      <c r="K45" s="239" t="n"/>
      <c r="L45" s="201" t="n"/>
      <c r="M45" s="121">
        <f>K45*I45</f>
        <v/>
      </c>
      <c r="N45" s="201" t="n"/>
      <c r="O45" s="5" t="n">
        <v>0.85</v>
      </c>
      <c r="P45" s="71">
        <f>M45/O45</f>
        <v/>
      </c>
    </row>
    <row r="46" customFormat="1" s="22">
      <c r="A46" s="13" t="n">
        <v>8</v>
      </c>
      <c r="B46" s="18" t="n"/>
      <c r="C46" s="5" t="n"/>
      <c r="D46" s="201" t="n"/>
      <c r="E46" s="5" t="n"/>
      <c r="F46" s="201" t="n"/>
      <c r="G46" s="5" t="n"/>
      <c r="H46" s="201" t="n"/>
      <c r="I46" s="5">
        <f>G46*E46*C46</f>
        <v/>
      </c>
      <c r="J46" s="201" t="n"/>
      <c r="K46" s="239" t="n"/>
      <c r="L46" s="201" t="n"/>
      <c r="M46" s="121">
        <f>K46*I46</f>
        <v/>
      </c>
      <c r="N46" s="201" t="n"/>
      <c r="O46" s="5" t="n">
        <v>0.85</v>
      </c>
      <c r="P46" s="71">
        <f>M46/O46</f>
        <v/>
      </c>
    </row>
    <row r="47" customFormat="1" s="22">
      <c r="A47" s="13" t="n">
        <v>9</v>
      </c>
      <c r="B47" s="18" t="n"/>
      <c r="C47" s="5" t="n"/>
      <c r="D47" s="201" t="n"/>
      <c r="E47" s="5" t="n"/>
      <c r="F47" s="201" t="n"/>
      <c r="G47" s="5" t="n"/>
      <c r="H47" s="201" t="n"/>
      <c r="I47" s="5">
        <f>G47*E47*C47</f>
        <v/>
      </c>
      <c r="J47" s="201" t="n"/>
      <c r="K47" s="239" t="n"/>
      <c r="L47" s="201" t="n"/>
      <c r="M47" s="121">
        <f>K47*I47</f>
        <v/>
      </c>
      <c r="N47" s="201" t="n"/>
      <c r="O47" s="5" t="n">
        <v>0.85</v>
      </c>
      <c r="P47" s="71">
        <f>M47/O47</f>
        <v/>
      </c>
    </row>
    <row r="48" customFormat="1" s="22">
      <c r="A48" s="13" t="n">
        <v>10</v>
      </c>
      <c r="B48" s="18" t="n"/>
      <c r="C48" s="5" t="n"/>
      <c r="D48" s="201" t="n"/>
      <c r="E48" s="5" t="n"/>
      <c r="F48" s="201" t="n"/>
      <c r="G48" s="5" t="n"/>
      <c r="H48" s="201" t="n"/>
      <c r="I48" s="5">
        <f>G48*E48*C48</f>
        <v/>
      </c>
      <c r="J48" s="201" t="n"/>
      <c r="K48" s="239" t="n"/>
      <c r="L48" s="201" t="n"/>
      <c r="M48" s="121">
        <f>K48*I48</f>
        <v/>
      </c>
      <c r="N48" s="201" t="n"/>
      <c r="O48" s="5" t="n">
        <v>0.85</v>
      </c>
      <c r="P48" s="71">
        <f>M48/O48</f>
        <v/>
      </c>
    </row>
    <row r="49" customFormat="1" s="22">
      <c r="A49" s="13" t="n">
        <v>11</v>
      </c>
      <c r="B49" s="18" t="n"/>
      <c r="C49" s="5" t="n"/>
      <c r="D49" s="201" t="n"/>
      <c r="E49" s="5" t="n"/>
      <c r="F49" s="201" t="n"/>
      <c r="G49" s="5" t="n"/>
      <c r="H49" s="201" t="n"/>
      <c r="I49" s="5">
        <f>G49*E49*C49</f>
        <v/>
      </c>
      <c r="J49" s="201" t="n"/>
      <c r="K49" s="239" t="n"/>
      <c r="L49" s="201" t="n"/>
      <c r="M49" s="121">
        <f>K49*I49</f>
        <v/>
      </c>
      <c r="N49" s="201" t="n"/>
      <c r="O49" s="5" t="n">
        <v>0.85</v>
      </c>
      <c r="P49" s="71">
        <f>M49/O49</f>
        <v/>
      </c>
    </row>
    <row r="50" customFormat="1" s="22">
      <c r="A50" s="13" t="n">
        <v>12</v>
      </c>
      <c r="B50" s="18" t="n"/>
      <c r="C50" s="5" t="n"/>
      <c r="D50" s="201" t="n"/>
      <c r="E50" s="5" t="n"/>
      <c r="F50" s="201" t="n"/>
      <c r="G50" s="5" t="n"/>
      <c r="H50" s="201" t="n"/>
      <c r="I50" s="5">
        <f>G50*E50*C50</f>
        <v/>
      </c>
      <c r="J50" s="201" t="n"/>
      <c r="K50" s="239" t="n"/>
      <c r="L50" s="201" t="n"/>
      <c r="M50" s="121">
        <f>K50*I50</f>
        <v/>
      </c>
      <c r="N50" s="201" t="n"/>
      <c r="O50" s="5" t="n">
        <v>0.85</v>
      </c>
      <c r="P50" s="71">
        <f>M50/O50</f>
        <v/>
      </c>
    </row>
    <row r="51" customFormat="1" s="22">
      <c r="A51" s="13" t="n">
        <v>13</v>
      </c>
      <c r="B51" s="18" t="inlineStr">
        <is>
          <t>Rigid 90deg - 2"</t>
        </is>
      </c>
      <c r="C51" s="5" t="n"/>
      <c r="D51" s="201" t="n"/>
      <c r="E51" s="5" t="n"/>
      <c r="F51" s="201" t="n"/>
      <c r="G51" s="5" t="n"/>
      <c r="H51" s="201" t="n"/>
      <c r="I51" s="5">
        <f>G51*E51*C51</f>
        <v/>
      </c>
      <c r="J51" s="201" t="n"/>
      <c r="K51" s="239" t="n"/>
      <c r="L51" s="201" t="n"/>
      <c r="M51" s="121">
        <f>K51*I51</f>
        <v/>
      </c>
      <c r="N51" s="201" t="n"/>
      <c r="O51" s="5" t="n">
        <v>0.85</v>
      </c>
      <c r="P51" s="71">
        <f>M51/O51</f>
        <v/>
      </c>
    </row>
    <row r="52" customFormat="1" s="22">
      <c r="A52" s="13" t="n">
        <v>14</v>
      </c>
      <c r="B52" s="18" t="inlineStr">
        <is>
          <t>Rigid Bullet Hub Connectors - 2" and Nut</t>
        </is>
      </c>
      <c r="C52" s="5" t="n"/>
      <c r="D52" s="201" t="n"/>
      <c r="E52" s="5" t="n"/>
      <c r="F52" s="201" t="n"/>
      <c r="G52" s="5" t="n"/>
      <c r="H52" s="201" t="n"/>
      <c r="I52" s="5">
        <f>G52*E52*C52</f>
        <v/>
      </c>
      <c r="J52" s="201" t="n"/>
      <c r="K52" s="239" t="n"/>
      <c r="L52" s="201" t="n"/>
      <c r="M52" s="121">
        <f>K52*I52</f>
        <v/>
      </c>
      <c r="N52" s="201" t="n"/>
      <c r="O52" s="5" t="n">
        <v>0.85</v>
      </c>
      <c r="P52" s="71">
        <f>M52/O52</f>
        <v/>
      </c>
    </row>
    <row r="53" customFormat="1" s="22">
      <c r="A53" s="13" t="n">
        <v>15</v>
      </c>
      <c r="B53" s="72" t="inlineStr">
        <is>
          <t>YGA282N - 2 Hole Lug, #4/o AWG</t>
        </is>
      </c>
      <c r="C53" s="5" t="n"/>
      <c r="D53" s="201" t="n"/>
      <c r="E53" s="5" t="n"/>
      <c r="F53" s="201" t="n"/>
      <c r="G53" s="5" t="n"/>
      <c r="H53" s="201" t="n"/>
      <c r="I53" s="5">
        <f>G53*E53*C53</f>
        <v/>
      </c>
      <c r="J53" s="201" t="n"/>
      <c r="K53" s="239" t="n"/>
      <c r="L53" s="201" t="n"/>
      <c r="M53" s="121">
        <f>K53*I53</f>
        <v/>
      </c>
      <c r="N53" s="201" t="n"/>
      <c r="O53" s="5" t="n">
        <v>0.85</v>
      </c>
      <c r="P53" s="71">
        <f>M53/O53</f>
        <v/>
      </c>
    </row>
    <row r="54" customFormat="1" s="22">
      <c r="A54" s="13" t="n">
        <v>16</v>
      </c>
      <c r="B54" s="72" t="inlineStr">
        <is>
          <t>Mounting tape - VBH F-9473PB by 3M</t>
        </is>
      </c>
      <c r="C54" s="5" t="n"/>
      <c r="D54" s="201" t="n"/>
      <c r="E54" s="5" t="n"/>
      <c r="F54" s="201" t="n"/>
      <c r="G54" s="5" t="n"/>
      <c r="H54" s="201" t="n"/>
      <c r="I54" s="5">
        <f>G54*E54*C54</f>
        <v/>
      </c>
      <c r="J54" s="201" t="n"/>
      <c r="K54" s="239" t="n"/>
      <c r="L54" s="201" t="n"/>
      <c r="M54" s="121">
        <f>K54*I54</f>
        <v/>
      </c>
      <c r="N54" s="201" t="n"/>
      <c r="O54" s="5" t="n">
        <v>0.85</v>
      </c>
      <c r="P54" s="71">
        <f>M54/O54</f>
        <v/>
      </c>
    </row>
    <row r="55" customFormat="1" s="22">
      <c r="A55" s="13" t="n">
        <v>17</v>
      </c>
      <c r="B55" s="72" t="inlineStr">
        <is>
          <t>Foam tape - VBH F-4910 by 3M</t>
        </is>
      </c>
      <c r="C55" s="5" t="n"/>
      <c r="D55" s="201" t="n"/>
      <c r="E55" s="5" t="n"/>
      <c r="F55" s="201" t="n"/>
      <c r="G55" s="5" t="n"/>
      <c r="H55" s="201" t="n"/>
      <c r="I55" s="5">
        <f>G55*E55*C55</f>
        <v/>
      </c>
      <c r="J55" s="201" t="n"/>
      <c r="K55" s="239" t="n"/>
      <c r="L55" s="201" t="n"/>
      <c r="M55" s="121">
        <f>K55*I55</f>
        <v/>
      </c>
      <c r="N55" s="201" t="n"/>
      <c r="O55" s="5" t="n">
        <v>0.85</v>
      </c>
      <c r="P55" s="71">
        <f>M55/O55</f>
        <v/>
      </c>
    </row>
    <row r="56" customFormat="1" s="22">
      <c r="A56" s="13" t="n">
        <v>18</v>
      </c>
      <c r="B56" s="72" t="inlineStr">
        <is>
          <t>AS-7096N Sealant</t>
        </is>
      </c>
      <c r="C56" s="5" t="n"/>
      <c r="D56" s="201" t="n"/>
      <c r="E56" s="5" t="n"/>
      <c r="F56" s="201" t="n"/>
      <c r="G56" s="5" t="n"/>
      <c r="H56" s="201" t="n"/>
      <c r="I56" s="5">
        <f>G56*E56*C56</f>
        <v/>
      </c>
      <c r="J56" s="201" t="n"/>
      <c r="K56" s="239" t="n"/>
      <c r="L56" s="201" t="n"/>
      <c r="M56" s="121">
        <f>K56*I56</f>
        <v/>
      </c>
      <c r="N56" s="201" t="n"/>
      <c r="O56" s="5" t="n">
        <v>0.85</v>
      </c>
      <c r="P56" s="71">
        <f>M56/O56</f>
        <v/>
      </c>
    </row>
    <row r="57" customFormat="1" s="22">
      <c r="A57" s="13" t="n">
        <v>19</v>
      </c>
      <c r="B57" s="72" t="inlineStr">
        <is>
          <t>Breaker HLL36060</t>
        </is>
      </c>
      <c r="C57" s="5" t="n"/>
      <c r="D57" s="201" t="n"/>
      <c r="E57" s="5" t="n"/>
      <c r="F57" s="201" t="n"/>
      <c r="G57" s="5" t="n"/>
      <c r="H57" s="201" t="n"/>
      <c r="I57" s="5">
        <f>G57*E57*C57</f>
        <v/>
      </c>
      <c r="J57" s="201" t="n"/>
      <c r="K57" s="239" t="n"/>
      <c r="L57" s="201" t="n"/>
      <c r="M57" s="121">
        <f>K57*I57</f>
        <v/>
      </c>
      <c r="N57" s="201" t="n"/>
      <c r="O57" s="5" t="n">
        <v>0.85</v>
      </c>
      <c r="P57" s="71">
        <f>M57/O57</f>
        <v/>
      </c>
    </row>
    <row r="58" ht="31.5" customFormat="1" customHeight="1" s="22">
      <c r="A58" s="13" t="n">
        <v>20</v>
      </c>
      <c r="B58" s="72" t="inlineStr">
        <is>
          <t>Pull Box, EEMAC-1 300mX300mmX150mm (P/N: CS12126)</t>
        </is>
      </c>
      <c r="C58" s="5" t="n"/>
      <c r="D58" s="201" t="n"/>
      <c r="E58" s="5" t="n"/>
      <c r="F58" s="201" t="n"/>
      <c r="G58" s="5" t="n"/>
      <c r="H58" s="201" t="n"/>
      <c r="I58" s="5">
        <f>G58*E58*C58</f>
        <v/>
      </c>
      <c r="J58" s="201" t="n"/>
      <c r="K58" s="239" t="n"/>
      <c r="L58" s="201" t="n"/>
      <c r="M58" s="121">
        <f>K58*I58</f>
        <v/>
      </c>
      <c r="N58" s="201" t="n"/>
      <c r="O58" s="5" t="n">
        <v>0.85</v>
      </c>
      <c r="P58" s="71">
        <f>M58/O58</f>
        <v/>
      </c>
    </row>
    <row r="59" customFormat="1" s="22">
      <c r="A59" s="13" t="n">
        <v>27</v>
      </c>
      <c r="B59" s="72" t="inlineStr">
        <is>
          <t>Aluminum Bracket (Aluma Form)</t>
        </is>
      </c>
      <c r="C59" s="5" t="n"/>
      <c r="D59" s="201" t="n"/>
      <c r="E59" s="5" t="n"/>
      <c r="F59" s="201" t="n"/>
      <c r="G59" s="5" t="n"/>
      <c r="H59" s="201" t="n"/>
      <c r="I59" s="5">
        <f>G59*E59*C59</f>
        <v/>
      </c>
      <c r="J59" s="201" t="n"/>
      <c r="K59" s="239" t="n"/>
      <c r="L59" s="201" t="n"/>
      <c r="M59" s="121">
        <f>K59*I59</f>
        <v/>
      </c>
      <c r="N59" s="201" t="n"/>
      <c r="O59" s="5" t="n">
        <v>0.85</v>
      </c>
      <c r="P59" s="71">
        <f>M59/O59</f>
        <v/>
      </c>
    </row>
    <row r="60">
      <c r="A60" s="13" t="n">
        <v>28</v>
      </c>
      <c r="B60" s="18" t="n"/>
      <c r="C60" s="5" t="n"/>
      <c r="D60" s="201" t="n"/>
      <c r="E60" s="5" t="n"/>
      <c r="F60" s="201" t="n"/>
      <c r="G60" s="5" t="n"/>
      <c r="H60" s="201" t="n"/>
      <c r="I60" s="5">
        <f>G60*E60*C60</f>
        <v/>
      </c>
      <c r="J60" s="201" t="n"/>
      <c r="K60" s="239" t="n"/>
      <c r="L60" s="201" t="n"/>
      <c r="M60" s="121">
        <f>K60*I60</f>
        <v/>
      </c>
      <c r="N60" s="201" t="n"/>
      <c r="O60" s="5" t="n">
        <v>0.85</v>
      </c>
      <c r="P60" s="71">
        <f>M60/O60</f>
        <v/>
      </c>
      <c r="S60" s="22" t="n"/>
      <c r="T60" s="22" t="n"/>
      <c r="U60" s="22" t="n"/>
      <c r="V60" s="22" t="n"/>
      <c r="W60" s="22" t="n"/>
    </row>
    <row r="61">
      <c r="A61" s="13" t="n">
        <v>29</v>
      </c>
      <c r="B61" s="4" t="n"/>
      <c r="C61" s="5" t="n"/>
      <c r="D61" s="201" t="n"/>
      <c r="E61" s="5" t="n"/>
      <c r="F61" s="201" t="n"/>
      <c r="G61" s="5" t="n"/>
      <c r="H61" s="201" t="n"/>
      <c r="I61" s="5">
        <f>G61*E61*C61</f>
        <v/>
      </c>
      <c r="J61" s="201" t="n"/>
      <c r="K61" s="239" t="n"/>
      <c r="L61" s="201" t="n"/>
      <c r="M61" s="121">
        <f>K61*I61</f>
        <v/>
      </c>
      <c r="N61" s="201" t="n"/>
      <c r="O61" s="5" t="n">
        <v>0.85</v>
      </c>
      <c r="P61" s="71">
        <f>M61/O61</f>
        <v/>
      </c>
      <c r="S61" s="22" t="n"/>
      <c r="T61" s="73" t="n"/>
      <c r="U61" s="22" t="n"/>
      <c r="V61" s="22" t="n"/>
      <c r="W61" s="22" t="n"/>
    </row>
    <row r="62" ht="16.5" customFormat="1" customHeight="1" s="21" thickBot="1">
      <c r="A62" s="109" t="inlineStr">
        <is>
          <t>Subtotal Materials and Equipment</t>
        </is>
      </c>
      <c r="B62" s="200" t="n"/>
      <c r="C62" s="200" t="n"/>
      <c r="D62" s="200" t="n"/>
      <c r="E62" s="200" t="n"/>
      <c r="F62" s="200" t="n"/>
      <c r="G62" s="200" t="n"/>
      <c r="H62" s="200" t="n"/>
      <c r="I62" s="200" t="n"/>
      <c r="J62" s="200" t="n"/>
      <c r="K62" s="200" t="n"/>
      <c r="L62" s="200" t="n"/>
      <c r="M62" s="200" t="n"/>
      <c r="N62" s="200" t="n"/>
      <c r="O62" s="200" t="n"/>
      <c r="P62" s="74">
        <f>SUM(P39:P61)</f>
        <v/>
      </c>
      <c r="S62" s="22" t="n"/>
      <c r="T62" s="22" t="n"/>
      <c r="U62" s="22" t="n"/>
      <c r="V62" s="22" t="n"/>
      <c r="W62" s="22" t="n"/>
    </row>
    <row r="63" ht="16.5" customHeight="1" thickTop="1">
      <c r="A63" s="33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3" t="n"/>
      <c r="S63" s="22" t="n"/>
      <c r="T63" s="22" t="n"/>
      <c r="U63" s="22" t="n"/>
      <c r="V63" s="22" t="n"/>
      <c r="W63" s="22" t="n"/>
    </row>
    <row r="64">
      <c r="A64" s="204" t="n"/>
      <c r="B64" s="205" t="n"/>
      <c r="C64" s="205" t="n"/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  <c r="O64" s="205" t="n"/>
      <c r="P64" s="206" t="n"/>
      <c r="S64" s="22" t="n"/>
      <c r="T64" s="22" t="n"/>
      <c r="U64" s="22" t="n"/>
      <c r="V64" s="22" t="n"/>
      <c r="W64" s="22" t="n"/>
    </row>
    <row r="65">
      <c r="A65" s="103" t="inlineStr">
        <is>
          <t>Project Subtotal</t>
        </is>
      </c>
      <c r="B65" s="200" t="n"/>
      <c r="C65" s="200" t="n"/>
      <c r="D65" s="200" t="n"/>
      <c r="E65" s="200" t="n"/>
      <c r="F65" s="200" t="n"/>
      <c r="G65" s="200" t="n"/>
      <c r="H65" s="200" t="n"/>
      <c r="I65" s="200" t="n"/>
      <c r="J65" s="200" t="n"/>
      <c r="K65" s="200" t="n"/>
      <c r="L65" s="200" t="n"/>
      <c r="M65" s="200" t="n"/>
      <c r="N65" s="200" t="n"/>
      <c r="O65" s="201" t="n"/>
      <c r="P65" s="75">
        <f>P26+P36+P62</f>
        <v/>
      </c>
      <c r="S65" s="22" t="n"/>
      <c r="T65" s="22" t="n"/>
      <c r="U65" s="22" t="n"/>
      <c r="V65" s="22" t="n"/>
      <c r="W65" s="22" t="n"/>
    </row>
    <row r="66">
      <c r="A66" s="103" t="n"/>
      <c r="B66" s="200" t="n"/>
      <c r="C66" s="200" t="n"/>
      <c r="D66" s="200" t="n"/>
      <c r="E66" s="200" t="n"/>
      <c r="F66" s="200" t="n"/>
      <c r="G66" s="200" t="n"/>
      <c r="H66" s="200" t="n"/>
      <c r="I66" s="200" t="n"/>
      <c r="J66" s="200" t="n"/>
      <c r="K66" s="200" t="n"/>
      <c r="L66" s="200" t="n"/>
      <c r="M66" s="200" t="n"/>
      <c r="N66" s="200" t="n"/>
      <c r="O66" s="200" t="n"/>
      <c r="P66" s="201" t="n"/>
      <c r="S66" s="22" t="n"/>
      <c r="T66" s="22" t="n"/>
      <c r="U66" s="22" t="n"/>
      <c r="V66" s="22" t="n"/>
      <c r="W66" s="22" t="n"/>
    </row>
    <row r="67">
      <c r="A67" s="103" t="inlineStr">
        <is>
          <t>Cash Allowance</t>
        </is>
      </c>
      <c r="B67" s="200" t="n"/>
      <c r="C67" s="200" t="n"/>
      <c r="D67" s="200" t="n"/>
      <c r="E67" s="200" t="n"/>
      <c r="F67" s="200" t="n"/>
      <c r="G67" s="200" t="n"/>
      <c r="H67" s="200" t="n"/>
      <c r="I67" s="200" t="n"/>
      <c r="J67" s="200" t="n"/>
      <c r="K67" s="200" t="n"/>
      <c r="L67" s="200" t="n"/>
      <c r="M67" s="200" t="n"/>
      <c r="N67" s="200" t="n"/>
      <c r="O67" s="201" t="n"/>
      <c r="P67" s="75" t="n">
        <v>0</v>
      </c>
      <c r="S67" s="22" t="n"/>
      <c r="T67" s="22" t="n"/>
      <c r="U67" s="22" t="n"/>
      <c r="V67" s="22" t="n"/>
      <c r="W67" s="22" t="n"/>
    </row>
    <row r="68">
      <c r="A68" s="103" t="n"/>
      <c r="B68" s="200" t="n"/>
      <c r="C68" s="200" t="n"/>
      <c r="D68" s="200" t="n"/>
      <c r="E68" s="200" t="n"/>
      <c r="F68" s="200" t="n"/>
      <c r="G68" s="200" t="n"/>
      <c r="H68" s="200" t="n"/>
      <c r="I68" s="200" t="n"/>
      <c r="J68" s="200" t="n"/>
      <c r="K68" s="200" t="n"/>
      <c r="L68" s="200" t="n"/>
      <c r="M68" s="200" t="n"/>
      <c r="N68" s="200" t="n"/>
      <c r="O68" s="200" t="n"/>
      <c r="P68" s="201" t="n"/>
      <c r="S68" s="22" t="n"/>
      <c r="T68" s="22" t="n"/>
      <c r="U68" s="22" t="n"/>
      <c r="V68" s="22" t="n"/>
      <c r="W68" s="22" t="n"/>
    </row>
    <row r="69">
      <c r="A69" s="103" t="inlineStr">
        <is>
          <t>Utility Isolation</t>
        </is>
      </c>
      <c r="B69" s="200" t="n"/>
      <c r="C69" s="200" t="n"/>
      <c r="D69" s="200" t="n"/>
      <c r="E69" s="200" t="n"/>
      <c r="F69" s="200" t="n"/>
      <c r="G69" s="200" t="n"/>
      <c r="H69" s="200" t="n"/>
      <c r="I69" s="200" t="n"/>
      <c r="J69" s="200" t="n"/>
      <c r="K69" s="200" t="n"/>
      <c r="L69" s="200" t="n"/>
      <c r="M69" s="200" t="n"/>
      <c r="N69" s="200" t="n"/>
      <c r="O69" s="201" t="n"/>
      <c r="P69" s="75" t="n">
        <v>0</v>
      </c>
      <c r="S69" s="22" t="n"/>
      <c r="T69" s="22" t="n"/>
      <c r="U69" s="22" t="n"/>
      <c r="V69" s="22" t="n"/>
      <c r="W69" s="22" t="n"/>
    </row>
    <row r="70">
      <c r="A70" s="103" t="n"/>
      <c r="B70" s="200" t="n"/>
      <c r="C70" s="200" t="n"/>
      <c r="D70" s="200" t="n"/>
      <c r="E70" s="200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  <c r="P70" s="201" t="n"/>
      <c r="S70" s="22" t="n"/>
      <c r="T70" s="22" t="n"/>
      <c r="U70" s="22" t="n"/>
      <c r="V70" s="22" t="n"/>
      <c r="W70" s="22" t="n"/>
    </row>
    <row r="71">
      <c r="A71" s="104" t="inlineStr">
        <is>
          <t>Discount</t>
        </is>
      </c>
      <c r="B71" s="200" t="n"/>
      <c r="C71" s="200" t="n"/>
      <c r="D71" s="200" t="n"/>
      <c r="E71" s="200" t="n"/>
      <c r="F71" s="200" t="n"/>
      <c r="G71" s="200" t="n"/>
      <c r="H71" s="200" t="n"/>
      <c r="I71" s="200" t="n"/>
      <c r="J71" s="200" t="n"/>
      <c r="K71" s="200" t="n"/>
      <c r="L71" s="200" t="n"/>
      <c r="M71" s="200" t="n"/>
      <c r="N71" s="200" t="n"/>
      <c r="O71" s="201" t="n"/>
      <c r="P71" s="76" t="n">
        <v>0</v>
      </c>
      <c r="S71" s="22" t="n"/>
      <c r="T71" s="22" t="n"/>
      <c r="U71" s="22" t="n"/>
      <c r="V71" s="22" t="n"/>
      <c r="W71" s="22" t="n"/>
    </row>
    <row r="72">
      <c r="A72" s="189" t="n"/>
      <c r="B72" s="200" t="n"/>
      <c r="C72" s="200" t="n"/>
      <c r="D72" s="200" t="n"/>
      <c r="E72" s="200" t="n"/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  <c r="P72" s="201" t="n"/>
      <c r="S72" s="22" t="n"/>
      <c r="T72" s="22" t="n"/>
      <c r="U72" s="22" t="n"/>
      <c r="V72" s="22" t="n"/>
      <c r="W72" s="22" t="n"/>
    </row>
    <row r="73">
      <c r="A73" s="103" t="inlineStr">
        <is>
          <t>Project Total</t>
        </is>
      </c>
      <c r="B73" s="200" t="n"/>
      <c r="C73" s="200" t="n"/>
      <c r="D73" s="200" t="n"/>
      <c r="E73" s="200" t="n"/>
      <c r="F73" s="200" t="n"/>
      <c r="G73" s="200" t="n"/>
      <c r="H73" s="200" t="n"/>
      <c r="I73" s="200" t="n"/>
      <c r="J73" s="200" t="n"/>
      <c r="K73" s="200" t="n"/>
      <c r="L73" s="200" t="n"/>
      <c r="M73" s="200" t="n"/>
      <c r="N73" s="200" t="n"/>
      <c r="O73" s="201" t="n"/>
      <c r="P73" s="75">
        <f>SUM(P65,P67,P69, P71)</f>
        <v/>
      </c>
      <c r="S73" s="22" t="n"/>
      <c r="T73" s="73" t="n"/>
      <c r="U73" s="22" t="n"/>
      <c r="V73" s="22" t="n"/>
      <c r="W73" s="22" t="n"/>
    </row>
    <row r="74">
      <c r="A74" s="103" t="inlineStr">
        <is>
          <t>HST</t>
        </is>
      </c>
      <c r="B74" s="200" t="n"/>
      <c r="C74" s="200" t="n"/>
      <c r="D74" s="200" t="n"/>
      <c r="E74" s="200" t="n"/>
      <c r="F74" s="200" t="n"/>
      <c r="G74" s="200" t="n"/>
      <c r="H74" s="200" t="n"/>
      <c r="I74" s="200" t="n"/>
      <c r="J74" s="200" t="n"/>
      <c r="K74" s="200" t="n"/>
      <c r="L74" s="200" t="n"/>
      <c r="M74" s="200" t="n"/>
      <c r="N74" s="200" t="n"/>
      <c r="O74" s="201" t="n"/>
      <c r="P74" s="75">
        <f>P73*0.13</f>
        <v/>
      </c>
    </row>
    <row r="75">
      <c r="A75" s="103" t="inlineStr">
        <is>
          <t>TOTAL</t>
        </is>
      </c>
      <c r="B75" s="200" t="n"/>
      <c r="C75" s="200" t="n"/>
      <c r="D75" s="200" t="n"/>
      <c r="E75" s="200" t="n"/>
      <c r="F75" s="200" t="n"/>
      <c r="G75" s="200" t="n"/>
      <c r="H75" s="200" t="n"/>
      <c r="I75" s="200" t="n"/>
      <c r="J75" s="200" t="n"/>
      <c r="K75" s="200" t="n"/>
      <c r="L75" s="200" t="n"/>
      <c r="M75" s="200" t="n"/>
      <c r="N75" s="200" t="n"/>
      <c r="O75" s="201" t="n"/>
      <c r="P75" s="75">
        <f>P73+P74</f>
        <v/>
      </c>
    </row>
    <row r="76">
      <c r="A76" s="27" t="inlineStr">
        <is>
          <t>HST Check for final price should be the same as above</t>
        </is>
      </c>
      <c r="P76" s="29">
        <f>P73*1.13</f>
        <v/>
      </c>
    </row>
    <row r="84" ht="16.5" customHeight="1" thickBot="1"/>
    <row r="85" ht="32.25" customHeight="1" thickBot="1">
      <c r="B85" s="27" t="inlineStr">
        <is>
          <t>APS (Cost)</t>
        </is>
      </c>
      <c r="C85" s="93" t="inlineStr">
        <is>
          <t>Regular</t>
        </is>
      </c>
      <c r="D85" s="93" t="inlineStr">
        <is>
          <t>Regular W/truck</t>
        </is>
      </c>
      <c r="E85" s="199" t="n"/>
      <c r="F85" s="82" t="inlineStr">
        <is>
          <t>Double Time</t>
        </is>
      </c>
      <c r="G85" s="82" t="inlineStr">
        <is>
          <t>Double Time W/truck</t>
        </is>
      </c>
      <c r="H85" s="83" t="inlineStr">
        <is>
          <t>Shift 20%</t>
        </is>
      </c>
      <c r="I85" s="83" t="inlineStr">
        <is>
          <t>Shift 20% W/truck</t>
        </is>
      </c>
    </row>
    <row r="86">
      <c r="B86" s="77" t="inlineStr">
        <is>
          <t xml:space="preserve">FOREMAN                                          </t>
        </is>
      </c>
      <c r="C86" s="207" t="n">
        <v>98.20999999999999</v>
      </c>
      <c r="D86" s="207">
        <f>(C86+17)</f>
        <v/>
      </c>
      <c r="E86" s="206" t="n"/>
      <c r="F86" s="208" t="n">
        <v>196.41</v>
      </c>
      <c r="G86" s="208">
        <f>(F86+17)</f>
        <v/>
      </c>
      <c r="H86" s="209" t="n">
        <v>112.94</v>
      </c>
      <c r="I86" s="210">
        <f>H86+17</f>
        <v/>
      </c>
      <c r="J86" s="211" t="n"/>
      <c r="K86" s="211" t="n"/>
    </row>
    <row r="87">
      <c r="B87" s="77" t="inlineStr">
        <is>
          <t xml:space="preserve">JOURNEYMAN                                 </t>
        </is>
      </c>
      <c r="C87" s="212" t="n">
        <v>87.65000000000001</v>
      </c>
      <c r="D87" s="212">
        <f>(C87+17)</f>
        <v/>
      </c>
      <c r="E87" s="201" t="n"/>
      <c r="F87" s="213" t="n">
        <v>175.31</v>
      </c>
      <c r="G87" s="213">
        <f>(F87+17)</f>
        <v/>
      </c>
      <c r="H87" s="214" t="n">
        <v>100.8</v>
      </c>
      <c r="I87" s="215">
        <f>H87+17</f>
        <v/>
      </c>
      <c r="J87" s="211" t="n"/>
      <c r="K87" s="211" t="n"/>
    </row>
    <row r="88">
      <c r="B88" s="77" t="inlineStr">
        <is>
          <t xml:space="preserve">APPRENTICE #5                                </t>
        </is>
      </c>
      <c r="C88" s="212" t="n">
        <v>71.38</v>
      </c>
      <c r="D88" s="212">
        <f>(C88+17)</f>
        <v/>
      </c>
      <c r="E88" s="201" t="n"/>
      <c r="F88" s="213" t="n">
        <v>142.73</v>
      </c>
      <c r="G88" s="213">
        <f>(F88+17)</f>
        <v/>
      </c>
      <c r="H88" s="214" t="n">
        <v>82.09</v>
      </c>
      <c r="I88" s="215">
        <f>H88+17</f>
        <v/>
      </c>
      <c r="J88" s="211" t="n"/>
      <c r="K88" s="211" t="n"/>
    </row>
    <row r="89">
      <c r="B89" s="77" t="inlineStr">
        <is>
          <t xml:space="preserve">APPRENTICE #4                                </t>
        </is>
      </c>
      <c r="C89" s="212" t="n">
        <v>63.34</v>
      </c>
      <c r="D89" s="212">
        <f>(C89+17)</f>
        <v/>
      </c>
      <c r="E89" s="201" t="n"/>
      <c r="F89" s="213" t="n">
        <v>126.7</v>
      </c>
      <c r="G89" s="213">
        <f>(F89+17)</f>
        <v/>
      </c>
      <c r="H89" s="214" t="n">
        <v>72.84</v>
      </c>
      <c r="I89" s="215">
        <f>H89+17</f>
        <v/>
      </c>
      <c r="J89" s="211" t="n"/>
      <c r="K89" s="211" t="n"/>
    </row>
    <row r="90">
      <c r="B90" s="77" t="inlineStr">
        <is>
          <t xml:space="preserve">APPRENTICE #3                              </t>
        </is>
      </c>
      <c r="C90" s="212" t="n">
        <v>55.33</v>
      </c>
      <c r="D90" s="212">
        <f>(C90+17)</f>
        <v/>
      </c>
      <c r="E90" s="201" t="n"/>
      <c r="F90" s="213" t="n">
        <v>110.64</v>
      </c>
      <c r="G90" s="213">
        <f>(F90+17)</f>
        <v/>
      </c>
      <c r="H90" s="214" t="n">
        <v>63.63</v>
      </c>
      <c r="I90" s="215">
        <f>H90+17</f>
        <v/>
      </c>
      <c r="J90" s="211" t="n"/>
      <c r="K90" s="211" t="n"/>
    </row>
    <row r="91">
      <c r="B91" s="77" t="inlineStr">
        <is>
          <t xml:space="preserve">APPRENTICE #2                                 </t>
        </is>
      </c>
      <c r="C91" s="212" t="n">
        <v>47.3</v>
      </c>
      <c r="D91" s="212">
        <f>(C91+17)</f>
        <v/>
      </c>
      <c r="E91" s="201" t="n"/>
      <c r="F91" s="213" t="n">
        <v>94.59</v>
      </c>
      <c r="G91" s="213">
        <f>(F91+17)</f>
        <v/>
      </c>
      <c r="H91" s="214" t="n">
        <v>54.4</v>
      </c>
      <c r="I91" s="215">
        <f>H91+17</f>
        <v/>
      </c>
      <c r="J91" s="211" t="n"/>
      <c r="K91" s="211" t="n"/>
    </row>
    <row r="92">
      <c r="B92" s="77" t="inlineStr">
        <is>
          <t xml:space="preserve">APPRENTICE #1                                 </t>
        </is>
      </c>
      <c r="C92" s="212" t="n">
        <v>39.25</v>
      </c>
      <c r="D92" s="212">
        <f>(C92+17)</f>
        <v/>
      </c>
      <c r="E92" s="201" t="n"/>
      <c r="F92" s="213" t="n">
        <v>78.48999999999999</v>
      </c>
      <c r="G92" s="213">
        <f>(F92+17)</f>
        <v/>
      </c>
      <c r="H92" s="214" t="n">
        <v>45.14</v>
      </c>
      <c r="I92" s="215">
        <f>H92+17</f>
        <v/>
      </c>
      <c r="J92" s="211" t="n"/>
      <c r="K92" s="211" t="n"/>
    </row>
    <row r="93" ht="16.5" customHeight="1" thickBot="1">
      <c r="D93" s="216" t="n"/>
      <c r="E93" s="217" t="n"/>
    </row>
    <row r="94" ht="32.25" customHeight="1" thickBot="1">
      <c r="B94" s="27" t="inlineStr">
        <is>
          <t>APS (Sell)</t>
        </is>
      </c>
      <c r="C94" s="93" t="inlineStr">
        <is>
          <t>Regular</t>
        </is>
      </c>
      <c r="D94" s="93" t="inlineStr">
        <is>
          <t>Regular W/truck</t>
        </is>
      </c>
      <c r="E94" s="199" t="n"/>
      <c r="F94" s="82" t="inlineStr">
        <is>
          <t>Double Time</t>
        </is>
      </c>
      <c r="G94" s="82" t="inlineStr">
        <is>
          <t>Double Time W/truck</t>
        </is>
      </c>
      <c r="H94" s="83" t="inlineStr">
        <is>
          <t>Shift 20%</t>
        </is>
      </c>
      <c r="I94" s="83" t="inlineStr">
        <is>
          <t>Shift 20% W/truck</t>
        </is>
      </c>
      <c r="K94" s="33" t="inlineStr">
        <is>
          <t>Margin</t>
        </is>
      </c>
    </row>
    <row r="95">
      <c r="B95" s="77" t="inlineStr">
        <is>
          <t xml:space="preserve">FOREMAN                                          </t>
        </is>
      </c>
      <c r="C95" s="218">
        <f>C86/$K$95</f>
        <v/>
      </c>
      <c r="D95" s="219">
        <f>D86/$K$95</f>
        <v/>
      </c>
      <c r="E95" s="220" t="n"/>
      <c r="F95" s="218">
        <f>F86/$K$95</f>
        <v/>
      </c>
      <c r="G95" s="218">
        <f>G86/$K$95</f>
        <v/>
      </c>
      <c r="H95" s="218">
        <f>H86/$K$95</f>
        <v/>
      </c>
      <c r="I95" s="218">
        <f>I86/$K$95</f>
        <v/>
      </c>
      <c r="K95" s="5" t="n">
        <v>0.8</v>
      </c>
    </row>
    <row r="96">
      <c r="B96" s="77" t="inlineStr">
        <is>
          <t xml:space="preserve">JOURNEYMAN                                 </t>
        </is>
      </c>
      <c r="C96" s="218">
        <f>C87/$K$95</f>
        <v/>
      </c>
      <c r="D96" s="212">
        <f>D87/$K$95</f>
        <v/>
      </c>
      <c r="E96" s="201" t="n"/>
      <c r="F96" s="218">
        <f>F87/$K$95</f>
        <v/>
      </c>
      <c r="G96" s="218">
        <f>G87/$K$95</f>
        <v/>
      </c>
      <c r="H96" s="218">
        <f>H87/$K$95</f>
        <v/>
      </c>
      <c r="I96" s="218">
        <f>I87/$K$95</f>
        <v/>
      </c>
    </row>
    <row r="97">
      <c r="B97" s="77" t="inlineStr">
        <is>
          <t xml:space="preserve">APPRENTICE #5                                </t>
        </is>
      </c>
      <c r="C97" s="218">
        <f>C88/$K$95</f>
        <v/>
      </c>
      <c r="D97" s="212">
        <f>D88/$K$95</f>
        <v/>
      </c>
      <c r="E97" s="201" t="n"/>
      <c r="F97" s="218">
        <f>F88/$K$95</f>
        <v/>
      </c>
      <c r="G97" s="218">
        <f>G88/$K$95</f>
        <v/>
      </c>
      <c r="H97" s="218">
        <f>H88/$K$95</f>
        <v/>
      </c>
      <c r="I97" s="218">
        <f>I88/$K$95</f>
        <v/>
      </c>
    </row>
    <row r="98">
      <c r="B98" s="77" t="inlineStr">
        <is>
          <t xml:space="preserve">APPRENTICE #4                                </t>
        </is>
      </c>
      <c r="C98" s="218">
        <f>C89/$K$95</f>
        <v/>
      </c>
      <c r="D98" s="212">
        <f>D89/$K$95</f>
        <v/>
      </c>
      <c r="E98" s="201" t="n"/>
      <c r="F98" s="218">
        <f>F89/$K$95</f>
        <v/>
      </c>
      <c r="G98" s="218">
        <f>G89/$K$95</f>
        <v/>
      </c>
      <c r="H98" s="218">
        <f>H89/$K$95</f>
        <v/>
      </c>
      <c r="I98" s="218">
        <f>I89/$K$95</f>
        <v/>
      </c>
    </row>
    <row r="99">
      <c r="B99" s="77" t="inlineStr">
        <is>
          <t xml:space="preserve">APPRENTICE #3                              </t>
        </is>
      </c>
      <c r="C99" s="218">
        <f>C90/$K$95</f>
        <v/>
      </c>
      <c r="D99" s="212">
        <f>D90/$K$95</f>
        <v/>
      </c>
      <c r="E99" s="201" t="n"/>
      <c r="F99" s="218">
        <f>F90/$K$95</f>
        <v/>
      </c>
      <c r="G99" s="218">
        <f>G90/$K$95</f>
        <v/>
      </c>
      <c r="H99" s="218">
        <f>H90/$K$95</f>
        <v/>
      </c>
      <c r="I99" s="218">
        <f>I90/$K$95</f>
        <v/>
      </c>
    </row>
    <row r="100">
      <c r="B100" s="77" t="inlineStr">
        <is>
          <t xml:space="preserve">APPRENTICE #2                                 </t>
        </is>
      </c>
      <c r="C100" s="218">
        <f>C91/$K$95</f>
        <v/>
      </c>
      <c r="D100" s="212">
        <f>D91/$K$95</f>
        <v/>
      </c>
      <c r="E100" s="201" t="n"/>
      <c r="F100" s="218">
        <f>F91/$K$95</f>
        <v/>
      </c>
      <c r="G100" s="218">
        <f>G91/$K$95</f>
        <v/>
      </c>
      <c r="H100" s="218">
        <f>H91/$K$95</f>
        <v/>
      </c>
      <c r="I100" s="218">
        <f>I91/$K$95</f>
        <v/>
      </c>
    </row>
    <row r="101">
      <c r="B101" s="77" t="inlineStr">
        <is>
          <t xml:space="preserve">APPRENTICE #1                                 </t>
        </is>
      </c>
      <c r="C101" s="218">
        <f>C92/$K$95</f>
        <v/>
      </c>
      <c r="D101" s="212">
        <f>D92/$K$95</f>
        <v/>
      </c>
      <c r="E101" s="201" t="n"/>
      <c r="F101" s="218">
        <f>F92/$K$95</f>
        <v/>
      </c>
      <c r="G101" s="218">
        <f>G92/$K$95</f>
        <v/>
      </c>
      <c r="H101" s="218">
        <f>H92/$K$95</f>
        <v/>
      </c>
      <c r="I101" s="218">
        <f>I92/$K$95</f>
        <v/>
      </c>
    </row>
    <row r="102">
      <c r="D102" s="221" t="n"/>
    </row>
    <row r="103">
      <c r="D103" s="221" t="n"/>
    </row>
    <row r="104">
      <c r="B104" s="27" t="inlineStr">
        <is>
          <t>Bonding</t>
        </is>
      </c>
      <c r="C104" s="27" t="inlineStr">
        <is>
          <t>rate/Moths</t>
        </is>
      </c>
    </row>
    <row r="105">
      <c r="B105" s="27" t="inlineStr">
        <is>
          <t>First $2.5M</t>
        </is>
      </c>
      <c r="C105" s="27" t="n">
        <v>8.699999999999999</v>
      </c>
      <c r="G105" s="221" t="n">
        <v>2500000</v>
      </c>
      <c r="I105" s="211">
        <f>G105/1000*C105</f>
        <v/>
      </c>
    </row>
    <row r="106">
      <c r="B106" s="27" t="inlineStr">
        <is>
          <t>Second $2.5M</t>
        </is>
      </c>
      <c r="C106" s="27" t="n">
        <v>7.9</v>
      </c>
      <c r="G106" s="221" t="n">
        <v>2500000</v>
      </c>
      <c r="I106" s="211">
        <f>G106/1000*C106</f>
        <v/>
      </c>
    </row>
    <row r="107">
      <c r="B107" s="27" t="inlineStr">
        <is>
          <t>Third $2.5M</t>
        </is>
      </c>
      <c r="C107" s="27" t="n">
        <v>6.95</v>
      </c>
      <c r="G107" s="221" t="n">
        <v>2500000</v>
      </c>
      <c r="I107" s="211">
        <f>G107/1000*C107</f>
        <v/>
      </c>
    </row>
    <row r="108">
      <c r="B108" s="27" t="inlineStr">
        <is>
          <t>Subtotal</t>
        </is>
      </c>
      <c r="I108" s="211">
        <f>I105+I106+I107</f>
        <v/>
      </c>
    </row>
    <row r="109">
      <c r="B109" s="27" t="inlineStr">
        <is>
          <t>after 24 months</t>
        </is>
      </c>
      <c r="C109" s="27" t="n">
        <v>12</v>
      </c>
      <c r="I109" s="211">
        <f>I108*C109*0.01</f>
        <v/>
      </c>
    </row>
    <row r="110">
      <c r="B110" s="27" t="inlineStr">
        <is>
          <t>Grand Total for Bond</t>
        </is>
      </c>
      <c r="I110" s="211">
        <f>I108+I109</f>
        <v/>
      </c>
    </row>
    <row r="111">
      <c r="B111" s="27" t="inlineStr">
        <is>
          <t>Sell Price</t>
        </is>
      </c>
      <c r="I111" s="211">
        <f>I110/0.9</f>
        <v/>
      </c>
    </row>
    <row r="114">
      <c r="F114" s="21" t="n"/>
      <c r="G114" s="21" t="n"/>
    </row>
    <row r="115">
      <c r="F115" s="21" t="n"/>
      <c r="G115" s="77" t="n"/>
    </row>
    <row r="116">
      <c r="F116" s="21" t="n"/>
      <c r="G116" s="77" t="n"/>
    </row>
    <row r="117">
      <c r="F117" s="21" t="n"/>
      <c r="G117" s="77" t="n"/>
    </row>
    <row r="118">
      <c r="F118" s="21" t="n"/>
      <c r="G118" s="77" t="n"/>
    </row>
    <row r="119">
      <c r="F119" s="21" t="n"/>
      <c r="G119" s="77" t="n"/>
    </row>
  </sheetData>
  <mergeCells count="249">
    <mergeCell ref="A69:O69"/>
    <mergeCell ref="K49:L49"/>
    <mergeCell ref="M43:N43"/>
    <mergeCell ref="D100:E100"/>
    <mergeCell ref="M59:N59"/>
    <mergeCell ref="K33:L33"/>
    <mergeCell ref="A75:O75"/>
    <mergeCell ref="A68:P68"/>
    <mergeCell ref="K35:L35"/>
    <mergeCell ref="E51:F51"/>
    <mergeCell ref="M60:N60"/>
    <mergeCell ref="M35:N35"/>
    <mergeCell ref="D86:E86"/>
    <mergeCell ref="C54:D54"/>
    <mergeCell ref="M54:N54"/>
    <mergeCell ref="K50:L50"/>
    <mergeCell ref="C41:D41"/>
    <mergeCell ref="G57:H57"/>
    <mergeCell ref="C50:D50"/>
    <mergeCell ref="I4:N4"/>
    <mergeCell ref="C56:D56"/>
    <mergeCell ref="I58:J58"/>
    <mergeCell ref="K58:L58"/>
    <mergeCell ref="E34:F34"/>
    <mergeCell ref="C43:D43"/>
    <mergeCell ref="K52:L52"/>
    <mergeCell ref="G34:H34"/>
    <mergeCell ref="M29:N29"/>
    <mergeCell ref="A26:E26"/>
    <mergeCell ref="I42:J42"/>
    <mergeCell ref="E49:F49"/>
    <mergeCell ref="K42:L42"/>
    <mergeCell ref="G58:H58"/>
    <mergeCell ref="M33:N33"/>
    <mergeCell ref="M45:N45"/>
    <mergeCell ref="I52:J52"/>
    <mergeCell ref="A67:O67"/>
    <mergeCell ref="I44:J44"/>
    <mergeCell ref="K53:L53"/>
    <mergeCell ref="A73:O73"/>
    <mergeCell ref="M47:N47"/>
    <mergeCell ref="D98:E98"/>
    <mergeCell ref="K28:L28"/>
    <mergeCell ref="C28:D28"/>
    <mergeCell ref="E53:F53"/>
    <mergeCell ref="M50:N50"/>
    <mergeCell ref="G44:H44"/>
    <mergeCell ref="D88:E88"/>
    <mergeCell ref="I30:J30"/>
    <mergeCell ref="G59:H59"/>
    <mergeCell ref="K30:L30"/>
    <mergeCell ref="C30:D30"/>
    <mergeCell ref="E55:F55"/>
    <mergeCell ref="I46:J46"/>
    <mergeCell ref="D90:E90"/>
    <mergeCell ref="M44:N44"/>
    <mergeCell ref="D99:E99"/>
    <mergeCell ref="C45:D45"/>
    <mergeCell ref="O4:O5"/>
    <mergeCell ref="G61:H61"/>
    <mergeCell ref="I61:J61"/>
    <mergeCell ref="E48:F48"/>
    <mergeCell ref="K55:L55"/>
    <mergeCell ref="G48:H48"/>
    <mergeCell ref="I57:J57"/>
    <mergeCell ref="D101:E101"/>
    <mergeCell ref="K51:L51"/>
    <mergeCell ref="C47:D47"/>
    <mergeCell ref="M51:N51"/>
    <mergeCell ref="I54:J54"/>
    <mergeCell ref="I14:K14"/>
    <mergeCell ref="G38:H38"/>
    <mergeCell ref="I32:J32"/>
    <mergeCell ref="E38:F38"/>
    <mergeCell ref="K32:L32"/>
    <mergeCell ref="I41:J41"/>
    <mergeCell ref="K41:L41"/>
    <mergeCell ref="C40:D40"/>
    <mergeCell ref="E40:F40"/>
    <mergeCell ref="A62:O62"/>
    <mergeCell ref="I56:J56"/>
    <mergeCell ref="K56:L56"/>
    <mergeCell ref="G49:H49"/>
    <mergeCell ref="I43:J43"/>
    <mergeCell ref="K43:L43"/>
    <mergeCell ref="C60:D60"/>
    <mergeCell ref="G33:H33"/>
    <mergeCell ref="D103:E103"/>
    <mergeCell ref="I33:J33"/>
    <mergeCell ref="M41:N41"/>
    <mergeCell ref="A14:E14"/>
    <mergeCell ref="G25:G26"/>
    <mergeCell ref="G35:H35"/>
    <mergeCell ref="I35:J35"/>
    <mergeCell ref="A37:P37"/>
    <mergeCell ref="C57:D57"/>
    <mergeCell ref="D89:E89"/>
    <mergeCell ref="I59:J59"/>
    <mergeCell ref="C4:H4"/>
    <mergeCell ref="G60:H60"/>
    <mergeCell ref="C53:D53"/>
    <mergeCell ref="M53:N53"/>
    <mergeCell ref="E58:F58"/>
    <mergeCell ref="I60:J60"/>
    <mergeCell ref="E50:F50"/>
    <mergeCell ref="C34:D34"/>
    <mergeCell ref="M34:N34"/>
    <mergeCell ref="M55:N55"/>
    <mergeCell ref="G42:H42"/>
    <mergeCell ref="A1:P2"/>
    <mergeCell ref="C58:D58"/>
    <mergeCell ref="M52:N52"/>
    <mergeCell ref="I45:J45"/>
    <mergeCell ref="E52:F52"/>
    <mergeCell ref="M49:N49"/>
    <mergeCell ref="K45:L45"/>
    <mergeCell ref="A74:O74"/>
    <mergeCell ref="M39:N39"/>
    <mergeCell ref="K54:L54"/>
    <mergeCell ref="D96:E96"/>
    <mergeCell ref="M48:N48"/>
    <mergeCell ref="E39:F39"/>
    <mergeCell ref="E44:F44"/>
    <mergeCell ref="G39:H39"/>
    <mergeCell ref="K60:L60"/>
    <mergeCell ref="K29:L29"/>
    <mergeCell ref="C29:D29"/>
    <mergeCell ref="I47:J47"/>
    <mergeCell ref="E29:F29"/>
    <mergeCell ref="K47:L47"/>
    <mergeCell ref="A25:E25"/>
    <mergeCell ref="M25:M26"/>
    <mergeCell ref="O25:O26"/>
    <mergeCell ref="K44:L44"/>
    <mergeCell ref="C44:D44"/>
    <mergeCell ref="K31:L31"/>
    <mergeCell ref="K46:L46"/>
    <mergeCell ref="C31:D31"/>
    <mergeCell ref="K40:L40"/>
    <mergeCell ref="M31:N31"/>
    <mergeCell ref="E31:F31"/>
    <mergeCell ref="M40:N40"/>
    <mergeCell ref="D91:E91"/>
    <mergeCell ref="C59:D59"/>
    <mergeCell ref="E59:F59"/>
    <mergeCell ref="C46:D46"/>
    <mergeCell ref="E46:F46"/>
    <mergeCell ref="A4:A5"/>
    <mergeCell ref="C51:D51"/>
    <mergeCell ref="A6:P6"/>
    <mergeCell ref="D93:E93"/>
    <mergeCell ref="C61:D61"/>
    <mergeCell ref="E61:F61"/>
    <mergeCell ref="D102:E102"/>
    <mergeCell ref="A16:P16"/>
    <mergeCell ref="C48:D48"/>
    <mergeCell ref="E57:F57"/>
    <mergeCell ref="G51:H51"/>
    <mergeCell ref="D92:E92"/>
    <mergeCell ref="I51:J51"/>
    <mergeCell ref="B4:B5"/>
    <mergeCell ref="E54:F54"/>
    <mergeCell ref="A66:P66"/>
    <mergeCell ref="C38:D38"/>
    <mergeCell ref="G54:H54"/>
    <mergeCell ref="C32:D32"/>
    <mergeCell ref="E32:F32"/>
    <mergeCell ref="E41:F41"/>
    <mergeCell ref="A36:O36"/>
    <mergeCell ref="M38:N38"/>
    <mergeCell ref="G41:H41"/>
    <mergeCell ref="G32:H32"/>
    <mergeCell ref="K57:L57"/>
    <mergeCell ref="G50:H50"/>
    <mergeCell ref="G106:H106"/>
    <mergeCell ref="D85:E85"/>
    <mergeCell ref="I50:J50"/>
    <mergeCell ref="A3:P3"/>
    <mergeCell ref="D94:E94"/>
    <mergeCell ref="P4:P5"/>
    <mergeCell ref="E56:F56"/>
    <mergeCell ref="G56:H56"/>
    <mergeCell ref="M58:N58"/>
    <mergeCell ref="C49:D49"/>
    <mergeCell ref="E43:F43"/>
    <mergeCell ref="G105:H105"/>
    <mergeCell ref="I34:J34"/>
    <mergeCell ref="A65:O65"/>
    <mergeCell ref="G43:H43"/>
    <mergeCell ref="K34:L34"/>
    <mergeCell ref="G52:H52"/>
    <mergeCell ref="C33:D33"/>
    <mergeCell ref="E33:F33"/>
    <mergeCell ref="C42:D42"/>
    <mergeCell ref="I49:J49"/>
    <mergeCell ref="E42:F42"/>
    <mergeCell ref="G107:H107"/>
    <mergeCell ref="A72:P72"/>
    <mergeCell ref="C35:D35"/>
    <mergeCell ref="E35:F35"/>
    <mergeCell ref="D95:E95"/>
    <mergeCell ref="A71:O71"/>
    <mergeCell ref="C55:D55"/>
    <mergeCell ref="E28:F28"/>
    <mergeCell ref="G53:H53"/>
    <mergeCell ref="G28:H28"/>
    <mergeCell ref="I53:J53"/>
    <mergeCell ref="I28:J28"/>
    <mergeCell ref="D97:E97"/>
    <mergeCell ref="E60:F60"/>
    <mergeCell ref="A15:P15"/>
    <mergeCell ref="M30:N30"/>
    <mergeCell ref="K59:L59"/>
    <mergeCell ref="D87:E87"/>
    <mergeCell ref="E30:F30"/>
    <mergeCell ref="G30:H30"/>
    <mergeCell ref="I55:J55"/>
    <mergeCell ref="A70:P70"/>
    <mergeCell ref="M46:N46"/>
    <mergeCell ref="M28:N28"/>
    <mergeCell ref="E45:F45"/>
    <mergeCell ref="M42:N42"/>
    <mergeCell ref="I25:K26"/>
    <mergeCell ref="G45:H45"/>
    <mergeCell ref="C52:D52"/>
    <mergeCell ref="K61:L61"/>
    <mergeCell ref="I39:J39"/>
    <mergeCell ref="K39:L39"/>
    <mergeCell ref="M61:N61"/>
    <mergeCell ref="I48:J48"/>
    <mergeCell ref="C39:D39"/>
    <mergeCell ref="K48:L48"/>
    <mergeCell ref="G55:H55"/>
    <mergeCell ref="G29:H29"/>
    <mergeCell ref="A63:P64"/>
    <mergeCell ref="M57:N57"/>
    <mergeCell ref="I29:J29"/>
    <mergeCell ref="I38:J38"/>
    <mergeCell ref="G47:H47"/>
    <mergeCell ref="K38:L38"/>
    <mergeCell ref="M32:N32"/>
    <mergeCell ref="A27:P27"/>
    <mergeCell ref="G31:H31"/>
    <mergeCell ref="G46:H46"/>
    <mergeCell ref="I31:J31"/>
    <mergeCell ref="G40:H40"/>
    <mergeCell ref="I40:J40"/>
    <mergeCell ref="E47:F47"/>
    <mergeCell ref="M56:N56"/>
  </mergeCells>
  <dataValidations count="1">
    <dataValidation sqref="K95 O7:O13 O17:O24 O29:O35 O39:O61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portrait" paperSize="17" scale="72" fitToHeight="0" horizontalDpi="300" verticalDpi="300"/>
  <colBreaks count="1" manualBreakCount="1">
    <brk id="16" min="0" max="83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9"/>
  <sheetViews>
    <sheetView zoomScale="80" zoomScaleNormal="80" workbookViewId="0">
      <selection activeCell="A37" sqref="A37:P37"/>
    </sheetView>
  </sheetViews>
  <sheetFormatPr baseColWidth="8" defaultColWidth="9.140625" defaultRowHeight="15.75"/>
  <cols>
    <col width="9.140625" customWidth="1" style="27" min="1" max="1"/>
    <col width="44.85546875" customWidth="1" style="27" min="2" max="2"/>
    <col width="14.140625" customWidth="1" style="27" min="3" max="3"/>
    <col width="7.28515625" customWidth="1" style="27" min="4" max="4"/>
    <col width="9.42578125" customWidth="1" style="27" min="5" max="5"/>
    <col width="15.7109375" customWidth="1" style="27" min="6" max="6"/>
    <col width="19.140625" customWidth="1" style="27" min="7" max="7"/>
    <col width="15.28515625" customWidth="1" style="27" min="8" max="14"/>
    <col width="14.85546875" customWidth="1" style="27" min="15" max="15"/>
    <col width="22" customWidth="1" style="27" min="16" max="16"/>
    <col width="9.140625" customWidth="1" style="27" min="17" max="17"/>
    <col width="12.42578125" bestFit="1" customWidth="1" style="27" min="18" max="18"/>
    <col width="11.42578125" customWidth="1" style="27" min="19" max="19"/>
    <col width="15.5703125" bestFit="1" customWidth="1" style="27" min="20" max="20"/>
    <col width="12.85546875" customWidth="1" style="27" min="21" max="21"/>
    <col width="13.85546875" customWidth="1" style="27" min="22" max="22"/>
    <col width="11.85546875" customWidth="1" style="27" min="23" max="23"/>
    <col width="9.140625" customWidth="1" style="27" min="24" max="16384"/>
  </cols>
  <sheetData>
    <row r="1" ht="23.25" customHeight="1">
      <c r="A1" s="192">
        <f t="array" ref="A1">MID(CELL("filename",C1),FIND("]",CELL("filename",C1))+1,255)</f>
        <v/>
      </c>
      <c r="B1" s="193" t="n"/>
      <c r="C1" s="193" t="n"/>
      <c r="D1" s="193" t="n"/>
      <c r="E1" s="193" t="n"/>
      <c r="F1" s="193" t="n"/>
      <c r="G1" s="193" t="n"/>
      <c r="H1" s="193" t="n"/>
      <c r="I1" s="193" t="n"/>
      <c r="J1" s="193" t="n"/>
      <c r="K1" s="193" t="n"/>
      <c r="L1" s="193" t="n"/>
      <c r="M1" s="193" t="n"/>
      <c r="N1" s="193" t="n"/>
      <c r="O1" s="193" t="n"/>
      <c r="P1" s="194" t="n"/>
      <c r="R1" s="27">
        <f t="array" ref="R1">MID(CELL("filename",C1),FIND("]",CELL("filename",C1))+1,255)</f>
        <v/>
      </c>
    </row>
    <row r="2" ht="19.5" customHeight="1" thickBot="1">
      <c r="A2" s="195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7" t="n"/>
    </row>
    <row r="3" ht="19.5" customHeight="1" thickBot="1">
      <c r="A3" s="150" t="inlineStr">
        <is>
          <t>AINSWORTH LABOUR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9" t="n"/>
    </row>
    <row r="4" ht="19.5" customHeight="1" thickBot="1">
      <c r="A4" s="35" t="inlineStr">
        <is>
          <t>Item</t>
        </is>
      </c>
      <c r="B4" s="35" t="inlineStr">
        <is>
          <t>Task</t>
        </is>
      </c>
      <c r="C4" s="35" t="inlineStr">
        <is>
          <t>Regular Labour Rates</t>
        </is>
      </c>
      <c r="D4" s="198" t="n"/>
      <c r="E4" s="198" t="n"/>
      <c r="F4" s="198" t="n"/>
      <c r="G4" s="198" t="n"/>
      <c r="H4" s="199" t="n"/>
      <c r="I4" s="37" t="inlineStr">
        <is>
          <t>Premium Labour Rates</t>
        </is>
      </c>
      <c r="J4" s="198" t="n"/>
      <c r="K4" s="198" t="n"/>
      <c r="L4" s="198" t="n"/>
      <c r="M4" s="198" t="n"/>
      <c r="N4" s="199" t="n"/>
      <c r="O4" s="35" t="inlineStr">
        <is>
          <t>Margin</t>
        </is>
      </c>
      <c r="P4" s="222" t="inlineStr">
        <is>
          <t>Subtotal 3 - Sell Rate</t>
        </is>
      </c>
    </row>
    <row r="5" ht="57" customHeight="1" thickBot="1">
      <c r="A5" s="223" t="n"/>
      <c r="B5" s="223" t="n"/>
      <c r="C5" s="35" t="inlineStr">
        <is>
          <t># of techs</t>
        </is>
      </c>
      <c r="D5" s="35" t="inlineStr">
        <is>
          <t>Days/Units</t>
        </is>
      </c>
      <c r="E5" s="35" t="inlineStr">
        <is>
          <t>Regular Hours</t>
        </is>
      </c>
      <c r="F5" s="35" t="inlineStr">
        <is>
          <t>Total Regular Hours</t>
        </is>
      </c>
      <c r="G5" s="36" t="inlineStr">
        <is>
          <t>Regular Labour Rate</t>
        </is>
      </c>
      <c r="H5" s="36" t="inlineStr">
        <is>
          <t>Subtotal 1</t>
        </is>
      </c>
      <c r="I5" s="37" t="inlineStr">
        <is>
          <t># of techs</t>
        </is>
      </c>
      <c r="J5" s="37" t="inlineStr">
        <is>
          <t>Days/Units</t>
        </is>
      </c>
      <c r="K5" s="37" t="inlineStr">
        <is>
          <t>O/T Hours</t>
        </is>
      </c>
      <c r="L5" s="37" t="inlineStr">
        <is>
          <t>Total O/T Hours</t>
        </is>
      </c>
      <c r="M5" s="38" t="inlineStr">
        <is>
          <t>O/T Labour Rate</t>
        </is>
      </c>
      <c r="N5" s="37" t="inlineStr">
        <is>
          <t>Subtotal 2</t>
        </is>
      </c>
      <c r="O5" s="223" t="n"/>
      <c r="P5" s="223" t="n"/>
    </row>
    <row r="6" ht="34.5" customHeight="1" thickBot="1">
      <c r="A6" s="150" t="inlineStr">
        <is>
          <t>Project Management</t>
        </is>
      </c>
      <c r="B6" s="198" t="n"/>
      <c r="C6" s="198" t="n"/>
      <c r="D6" s="198" t="n"/>
      <c r="E6" s="198" t="n"/>
      <c r="F6" s="198" t="n"/>
      <c r="G6" s="198" t="n"/>
      <c r="H6" s="198" t="n"/>
      <c r="I6" s="198" t="n"/>
      <c r="J6" s="198" t="n"/>
      <c r="K6" s="198" t="n"/>
      <c r="L6" s="198" t="n"/>
      <c r="M6" s="198" t="n"/>
      <c r="N6" s="198" t="n"/>
      <c r="O6" s="198" t="n"/>
      <c r="P6" s="199" t="n"/>
      <c r="T6" s="211">
        <f>(P25+P36+P62)*0.05</f>
        <v/>
      </c>
    </row>
    <row r="7" ht="16.5" customHeight="1" thickTop="1">
      <c r="A7" s="156" t="n">
        <v>1</v>
      </c>
      <c r="B7" s="24" t="inlineStr">
        <is>
          <t>Engineering/Meetings</t>
        </is>
      </c>
      <c r="C7" s="13" t="n">
        <v>0</v>
      </c>
      <c r="D7" s="13" t="n">
        <v>0</v>
      </c>
      <c r="E7" s="13" t="n"/>
      <c r="F7" s="13">
        <f>C7*D7*E7</f>
        <v/>
      </c>
      <c r="G7" s="39" t="n">
        <v>90</v>
      </c>
      <c r="H7" s="40">
        <f>F7*G7</f>
        <v/>
      </c>
      <c r="I7" s="41" t="n"/>
      <c r="J7" s="42" t="n"/>
      <c r="K7" s="42" t="n"/>
      <c r="L7" s="42">
        <f>I7*J7*K7</f>
        <v/>
      </c>
      <c r="M7" s="43" t="n">
        <v>150</v>
      </c>
      <c r="N7" s="44">
        <f>L7*M7</f>
        <v/>
      </c>
      <c r="O7" s="5" t="n">
        <v>0.85</v>
      </c>
      <c r="P7" s="45">
        <f>H7/O7+N7/O7</f>
        <v/>
      </c>
      <c r="R7" s="29" t="n"/>
    </row>
    <row r="8">
      <c r="A8" s="156" t="n">
        <v>2</v>
      </c>
      <c r="B8" s="4" t="inlineStr">
        <is>
          <t>Project Management</t>
        </is>
      </c>
      <c r="C8" s="13" t="n">
        <v>0.05</v>
      </c>
      <c r="D8" s="13" t="n">
        <v>1</v>
      </c>
      <c r="E8" s="13" t="n">
        <v>1</v>
      </c>
      <c r="F8" s="13">
        <f>C8*D8*E8</f>
        <v/>
      </c>
      <c r="G8" s="39">
        <f>(P25+P36+P62)</f>
        <v/>
      </c>
      <c r="H8" s="46">
        <f>F8*G8</f>
        <v/>
      </c>
      <c r="I8" s="47" t="n"/>
      <c r="J8" s="48" t="n"/>
      <c r="K8" s="48" t="n"/>
      <c r="L8" s="48">
        <f>I8*J8*K8</f>
        <v/>
      </c>
      <c r="M8" s="39" t="n">
        <v>150</v>
      </c>
      <c r="N8" s="46">
        <f>L8*M8</f>
        <v/>
      </c>
      <c r="O8" s="5" t="n">
        <v>0.85</v>
      </c>
      <c r="P8" s="49">
        <f>H8/O8+N8/O8</f>
        <v/>
      </c>
    </row>
    <row r="9">
      <c r="A9" s="156" t="n">
        <v>3</v>
      </c>
      <c r="B9" s="4" t="inlineStr">
        <is>
          <t>ESA Submissions</t>
        </is>
      </c>
      <c r="C9" s="13" t="n"/>
      <c r="D9" s="13" t="n"/>
      <c r="E9" s="13" t="n"/>
      <c r="F9" s="13">
        <f>C9*D9*E9</f>
        <v/>
      </c>
      <c r="G9" s="39" t="n">
        <v>2000</v>
      </c>
      <c r="H9" s="46">
        <f>F9*G9</f>
        <v/>
      </c>
      <c r="I9" s="47" t="n"/>
      <c r="J9" s="48" t="n"/>
      <c r="K9" s="48" t="n"/>
      <c r="L9" s="48">
        <f>I9*J9*K9</f>
        <v/>
      </c>
      <c r="M9" s="39" t="n">
        <v>0</v>
      </c>
      <c r="N9" s="46">
        <f>L9*M9</f>
        <v/>
      </c>
      <c r="O9" s="5" t="n">
        <v>0.85</v>
      </c>
      <c r="P9" s="50">
        <f>H9/O9+N9/O9</f>
        <v/>
      </c>
    </row>
    <row r="10">
      <c r="A10" s="156" t="n">
        <v>4</v>
      </c>
      <c r="B10" s="4" t="inlineStr">
        <is>
          <t>Misc. Subcontractors</t>
        </is>
      </c>
      <c r="C10" s="13" t="n">
        <v>0.05</v>
      </c>
      <c r="D10" s="13" t="n">
        <v>1</v>
      </c>
      <c r="E10" s="13" t="n">
        <v>1</v>
      </c>
      <c r="F10" s="13">
        <f>C10*D10*E10</f>
        <v/>
      </c>
      <c r="G10" s="39">
        <f>P36</f>
        <v/>
      </c>
      <c r="H10" s="46">
        <f>F10*G10</f>
        <v/>
      </c>
      <c r="I10" s="47" t="n"/>
      <c r="J10" s="48" t="n"/>
      <c r="K10" s="48" t="n"/>
      <c r="L10" s="48">
        <f>I10*J10*K10</f>
        <v/>
      </c>
      <c r="M10" s="39" t="n">
        <v>150</v>
      </c>
      <c r="N10" s="46">
        <f>L10*M10</f>
        <v/>
      </c>
      <c r="O10" s="5" t="n">
        <v>0.85</v>
      </c>
      <c r="P10" s="50">
        <f>H10/O10+N10/O10</f>
        <v/>
      </c>
    </row>
    <row r="11">
      <c r="A11" s="156" t="n">
        <v>5</v>
      </c>
      <c r="B11" s="4" t="inlineStr">
        <is>
          <t>Misc. Materials</t>
        </is>
      </c>
      <c r="C11" s="13" t="n">
        <v>0.05</v>
      </c>
      <c r="D11" s="13" t="n">
        <v>1</v>
      </c>
      <c r="E11" s="13" t="n">
        <v>1</v>
      </c>
      <c r="F11" s="13">
        <f>C11*D11*E11</f>
        <v/>
      </c>
      <c r="G11" s="39">
        <f>P62</f>
        <v/>
      </c>
      <c r="H11" s="46">
        <f>F11*G11</f>
        <v/>
      </c>
      <c r="I11" s="47" t="n"/>
      <c r="J11" s="48" t="n"/>
      <c r="K11" s="48" t="n"/>
      <c r="L11" s="48">
        <f>I11*J11*K11</f>
        <v/>
      </c>
      <c r="M11" s="39" t="n">
        <v>150</v>
      </c>
      <c r="N11" s="46">
        <f>L11*M11</f>
        <v/>
      </c>
      <c r="O11" s="5" t="n">
        <v>0.85</v>
      </c>
      <c r="P11" s="50">
        <f>H11/O11+N11/O11</f>
        <v/>
      </c>
    </row>
    <row r="12">
      <c r="A12" s="156" t="n">
        <v>6</v>
      </c>
      <c r="B12" s="4" t="inlineStr">
        <is>
          <t>Forman - site supervision and civil</t>
        </is>
      </c>
      <c r="C12" s="13" t="n"/>
      <c r="D12" s="13" t="n"/>
      <c r="E12" s="13" t="n"/>
      <c r="F12" s="13">
        <f>C12*D12*E12</f>
        <v/>
      </c>
      <c r="G12" s="39" t="n">
        <v>92</v>
      </c>
      <c r="H12" s="46">
        <f>F12*G12</f>
        <v/>
      </c>
      <c r="I12" s="47" t="n"/>
      <c r="J12" s="48" t="n"/>
      <c r="K12" s="48" t="n"/>
      <c r="L12" s="48">
        <f>I12*J12*K12</f>
        <v/>
      </c>
      <c r="M12" s="39" t="n">
        <v>150</v>
      </c>
      <c r="N12" s="46">
        <f>L12*M12</f>
        <v/>
      </c>
      <c r="O12" s="5" t="n">
        <v>0.85</v>
      </c>
      <c r="P12" s="50">
        <f>H12/O12+N12/O12</f>
        <v/>
      </c>
    </row>
    <row r="13">
      <c r="A13" s="156" t="n">
        <v>7</v>
      </c>
      <c r="B13" s="4" t="inlineStr">
        <is>
          <t>Lodging</t>
        </is>
      </c>
      <c r="C13" s="13" t="n">
        <v>1</v>
      </c>
      <c r="D13" s="13" t="n">
        <v>1</v>
      </c>
      <c r="E13" s="13" t="n">
        <v>1</v>
      </c>
      <c r="F13" s="13">
        <f>C13*D13*E13</f>
        <v/>
      </c>
      <c r="G13" s="39" t="n">
        <v>0</v>
      </c>
      <c r="H13" s="46">
        <f>F13*G13</f>
        <v/>
      </c>
      <c r="I13" s="47" t="n"/>
      <c r="J13" s="48" t="n"/>
      <c r="K13" s="48" t="n"/>
      <c r="L13" s="48">
        <f>I13*J13*K13</f>
        <v/>
      </c>
      <c r="M13" s="39" t="n">
        <v>175</v>
      </c>
      <c r="N13" s="46">
        <f>L13*M13</f>
        <v/>
      </c>
      <c r="O13" s="5" t="n">
        <v>0.85</v>
      </c>
      <c r="P13" s="50">
        <f>H13/O13+N13/O13</f>
        <v/>
      </c>
    </row>
    <row r="14" ht="15.75" customFormat="1" customHeight="1" s="21" thickBot="1">
      <c r="A14" s="151" t="inlineStr">
        <is>
          <t>Total Management</t>
        </is>
      </c>
      <c r="B14" s="200" t="n"/>
      <c r="C14" s="200" t="n"/>
      <c r="D14" s="200" t="n"/>
      <c r="E14" s="201" t="n"/>
      <c r="F14" s="8">
        <f>SUM(F7:F13)</f>
        <v/>
      </c>
      <c r="G14" s="8" t="n"/>
      <c r="H14" s="51">
        <f>SUM(H7:H13)</f>
        <v/>
      </c>
      <c r="I14" s="224" t="n"/>
      <c r="J14" s="225" t="n"/>
      <c r="K14" s="226" t="n"/>
      <c r="L14" s="52">
        <f>SUM(L7:L13)</f>
        <v/>
      </c>
      <c r="M14" s="53" t="n"/>
      <c r="N14" s="54">
        <f>SUM(N7:N13)</f>
        <v/>
      </c>
      <c r="O14" s="55" t="n"/>
      <c r="P14" s="56">
        <f>SUM(P7:P13)</f>
        <v/>
      </c>
    </row>
    <row r="15" ht="16.5" customHeight="1" thickTop="1">
      <c r="A15" s="155" t="n"/>
      <c r="B15" s="200" t="n"/>
      <c r="C15" s="200" t="n"/>
      <c r="D15" s="200" t="n"/>
      <c r="E15" s="200" t="n"/>
      <c r="F15" s="200" t="n"/>
      <c r="G15" s="200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1" t="n"/>
    </row>
    <row r="16" ht="16.5" customHeight="1" thickBot="1">
      <c r="A16" s="151" t="inlineStr">
        <is>
          <t>Labour</t>
        </is>
      </c>
      <c r="B16" s="200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0" t="n"/>
      <c r="M16" s="200" t="n"/>
      <c r="N16" s="200" t="n"/>
      <c r="O16" s="200" t="n"/>
      <c r="P16" s="201" t="n"/>
    </row>
    <row r="17" ht="16.5" customHeight="1" thickTop="1">
      <c r="A17" s="155" t="n">
        <v>1</v>
      </c>
      <c r="B17" s="31" t="inlineStr">
        <is>
          <t>Mob/demob</t>
        </is>
      </c>
      <c r="C17" s="5" t="n"/>
      <c r="D17" s="5" t="n"/>
      <c r="E17" s="5" t="n"/>
      <c r="F17" s="5">
        <f>C17*D17*E17</f>
        <v/>
      </c>
      <c r="G17" s="57" t="n">
        <v>108</v>
      </c>
      <c r="H17" s="58">
        <f>F17*G17</f>
        <v/>
      </c>
      <c r="I17" s="41" t="n"/>
      <c r="J17" s="42" t="n"/>
      <c r="K17" s="42" t="n"/>
      <c r="L17" s="42">
        <f>I17*J17*K17</f>
        <v/>
      </c>
      <c r="M17" s="43" t="n">
        <v>195</v>
      </c>
      <c r="N17" s="44">
        <f>L17*M17</f>
        <v/>
      </c>
      <c r="O17" s="5" t="n">
        <v>0.85</v>
      </c>
      <c r="P17" s="45">
        <f>H17/O17+N17/O17</f>
        <v/>
      </c>
    </row>
    <row r="18">
      <c r="A18" s="155" t="n">
        <v>2</v>
      </c>
      <c r="B18" s="31" t="inlineStr">
        <is>
          <t>install</t>
        </is>
      </c>
      <c r="C18" s="5" t="n"/>
      <c r="D18" s="5" t="n"/>
      <c r="E18" s="5" t="n"/>
      <c r="F18" s="5">
        <f>C18*D18*E18</f>
        <v/>
      </c>
      <c r="G18" s="57" t="n">
        <v>108</v>
      </c>
      <c r="H18" s="58">
        <f>F18*G18</f>
        <v/>
      </c>
      <c r="I18" s="59" t="n"/>
      <c r="J18" s="60" t="n"/>
      <c r="K18" s="60" t="n"/>
      <c r="L18" s="60">
        <f>I18*J18*K18</f>
        <v/>
      </c>
      <c r="M18" s="57" t="n">
        <v>195</v>
      </c>
      <c r="N18" s="61">
        <f>L18*M18</f>
        <v/>
      </c>
      <c r="O18" s="5" t="n">
        <v>0.85</v>
      </c>
      <c r="P18" s="49">
        <f>H18/O18+N18/O18</f>
        <v/>
      </c>
      <c r="U18" s="62" t="n"/>
    </row>
    <row r="19">
      <c r="A19" s="155" t="n">
        <v>3</v>
      </c>
      <c r="B19" s="18" t="inlineStr">
        <is>
          <t>assist</t>
        </is>
      </c>
      <c r="C19" s="5" t="n"/>
      <c r="D19" s="5" t="n"/>
      <c r="E19" s="5" t="n"/>
      <c r="F19" s="5">
        <f>C19*D19*E19</f>
        <v/>
      </c>
      <c r="G19" s="57" t="n">
        <v>108</v>
      </c>
      <c r="H19" s="58">
        <f>F19*G19</f>
        <v/>
      </c>
      <c r="I19" s="59" t="n"/>
      <c r="J19" s="60" t="n"/>
      <c r="K19" s="60" t="n"/>
      <c r="L19" s="60">
        <f>I19*J19*K19</f>
        <v/>
      </c>
      <c r="M19" s="57" t="n">
        <v>195</v>
      </c>
      <c r="N19" s="61">
        <f>L19*M19</f>
        <v/>
      </c>
      <c r="O19" s="5" t="n">
        <v>0.85</v>
      </c>
      <c r="P19" s="49">
        <f>H19/O19+N19/O19</f>
        <v/>
      </c>
      <c r="R19" s="211" t="n"/>
      <c r="U19" s="62" t="n"/>
    </row>
    <row r="20">
      <c r="A20" s="155" t="n">
        <v>4</v>
      </c>
      <c r="B20" s="18" t="n"/>
      <c r="C20" s="5" t="n"/>
      <c r="D20" s="5" t="n"/>
      <c r="E20" s="5" t="n"/>
      <c r="F20" s="5">
        <f>C20*D20*E20</f>
        <v/>
      </c>
      <c r="G20" s="57" t="n">
        <v>108</v>
      </c>
      <c r="H20" s="58">
        <f>F20*G20</f>
        <v/>
      </c>
      <c r="I20" s="59" t="n"/>
      <c r="J20" s="60" t="n"/>
      <c r="K20" s="60" t="n"/>
      <c r="L20" s="60">
        <f>I20*J20*K20</f>
        <v/>
      </c>
      <c r="M20" s="57" t="n">
        <v>195</v>
      </c>
      <c r="N20" s="61">
        <f>L20*M20</f>
        <v/>
      </c>
      <c r="O20" s="5" t="n">
        <v>0.85</v>
      </c>
      <c r="P20" s="49">
        <f>H20/O20+N20/O20</f>
        <v/>
      </c>
      <c r="U20" s="62" t="n"/>
    </row>
    <row r="21">
      <c r="A21" s="155" t="n">
        <v>5</v>
      </c>
      <c r="B21" s="18" t="n"/>
      <c r="C21" s="5" t="n"/>
      <c r="D21" s="5" t="n"/>
      <c r="E21" s="5" t="n"/>
      <c r="F21" s="5">
        <f>C21*D21*E21</f>
        <v/>
      </c>
      <c r="G21" s="57" t="n">
        <v>108</v>
      </c>
      <c r="H21" s="58">
        <f>F21*G21</f>
        <v/>
      </c>
      <c r="I21" s="59" t="n"/>
      <c r="J21" s="60" t="n"/>
      <c r="K21" s="60" t="n"/>
      <c r="L21" s="60">
        <f>I21*J21*K21</f>
        <v/>
      </c>
      <c r="M21" s="57" t="n">
        <v>195</v>
      </c>
      <c r="N21" s="61">
        <f>L21*M21</f>
        <v/>
      </c>
      <c r="O21" s="5" t="n">
        <v>0.85</v>
      </c>
      <c r="P21" s="49">
        <f>H21/O21+N21/O21</f>
        <v/>
      </c>
    </row>
    <row r="22">
      <c r="A22" s="155" t="n">
        <v>6</v>
      </c>
      <c r="B22" s="18" t="n"/>
      <c r="C22" s="5" t="n"/>
      <c r="D22" s="5" t="n"/>
      <c r="E22" s="5" t="n"/>
      <c r="F22" s="5">
        <f>C22*D22*E22</f>
        <v/>
      </c>
      <c r="G22" s="57" t="n">
        <v>108</v>
      </c>
      <c r="H22" s="58">
        <f>F22*G22</f>
        <v/>
      </c>
      <c r="I22" s="59" t="n"/>
      <c r="J22" s="60" t="n"/>
      <c r="K22" s="60" t="n"/>
      <c r="L22" s="60">
        <f>I22*J22*K22</f>
        <v/>
      </c>
      <c r="M22" s="57" t="n">
        <v>195</v>
      </c>
      <c r="N22" s="61">
        <f>L22*M22</f>
        <v/>
      </c>
      <c r="O22" s="5" t="n">
        <v>0.85</v>
      </c>
      <c r="P22" s="49">
        <f>H22/O22+N22/O22</f>
        <v/>
      </c>
    </row>
    <row r="23">
      <c r="A23" s="155" t="n">
        <v>7</v>
      </c>
      <c r="B23" s="18" t="n"/>
      <c r="C23" s="5" t="n"/>
      <c r="D23" s="5" t="n"/>
      <c r="E23" s="5" t="n"/>
      <c r="F23" s="5">
        <f>C23*D23*E23</f>
        <v/>
      </c>
      <c r="G23" s="57" t="n">
        <v>108</v>
      </c>
      <c r="H23" s="58">
        <f>F23*G23</f>
        <v/>
      </c>
      <c r="I23" s="59" t="n"/>
      <c r="J23" s="60" t="n"/>
      <c r="K23" s="60" t="n"/>
      <c r="L23" s="60">
        <f>I23*J23*K23</f>
        <v/>
      </c>
      <c r="M23" s="57" t="n">
        <v>195</v>
      </c>
      <c r="N23" s="61">
        <f>L23*M23</f>
        <v/>
      </c>
      <c r="O23" s="5" t="n">
        <v>0.85</v>
      </c>
      <c r="P23" s="49">
        <f>H23/O23+N23/O23</f>
        <v/>
      </c>
    </row>
    <row r="24">
      <c r="A24" s="155" t="n">
        <v>8</v>
      </c>
      <c r="B24" s="18" t="n"/>
      <c r="C24" s="5" t="n"/>
      <c r="D24" s="5" t="n"/>
      <c r="E24" s="5" t="n"/>
      <c r="F24" s="5">
        <f>C24*D24*E24</f>
        <v/>
      </c>
      <c r="G24" s="57" t="n">
        <v>108</v>
      </c>
      <c r="H24" s="58">
        <f>F24*G24</f>
        <v/>
      </c>
      <c r="I24" s="59" t="n"/>
      <c r="J24" s="60" t="n"/>
      <c r="K24" s="60" t="n"/>
      <c r="L24" s="60">
        <f>I24*J24*K24</f>
        <v/>
      </c>
      <c r="M24" s="57" t="n">
        <v>195</v>
      </c>
      <c r="N24" s="61">
        <f>L24*M24</f>
        <v/>
      </c>
      <c r="O24" s="5" t="n">
        <v>0.85</v>
      </c>
      <c r="P24" s="49">
        <f>H24/O24+N24/O24</f>
        <v/>
      </c>
    </row>
    <row r="25" ht="15.75" customHeight="1">
      <c r="A25" s="151" t="inlineStr">
        <is>
          <t>Sub Total Labour</t>
        </is>
      </c>
      <c r="B25" s="200" t="n"/>
      <c r="C25" s="200" t="n"/>
      <c r="D25" s="200" t="n"/>
      <c r="E25" s="201" t="n"/>
      <c r="F25" s="8">
        <f>SUM(F17:F24)</f>
        <v/>
      </c>
      <c r="G25" s="8" t="n"/>
      <c r="H25" s="64">
        <f>SUM(H17:H24)</f>
        <v/>
      </c>
      <c r="I25" s="227" t="n"/>
      <c r="J25" s="202" t="n"/>
      <c r="K25" s="203" t="n"/>
      <c r="L25" s="65">
        <f>SUM(L17:L24)</f>
        <v/>
      </c>
      <c r="M25" s="53" t="n"/>
      <c r="N25" s="66">
        <f>SUM(N17:N24)</f>
        <v/>
      </c>
      <c r="O25" s="228" t="n"/>
      <c r="P25" s="67">
        <f>SUM(P17:P24)</f>
        <v/>
      </c>
      <c r="S25" s="22" t="n"/>
      <c r="T25" s="22" t="n"/>
    </row>
    <row r="26" ht="15.75" customFormat="1" customHeight="1" s="21" thickBot="1">
      <c r="A26" s="151" t="inlineStr">
        <is>
          <t>Subtotal Labour</t>
        </is>
      </c>
      <c r="B26" s="200" t="n"/>
      <c r="C26" s="200" t="n"/>
      <c r="D26" s="200" t="n"/>
      <c r="E26" s="201" t="n"/>
      <c r="F26" s="8">
        <f>F14+F25</f>
        <v/>
      </c>
      <c r="G26" s="229" t="n"/>
      <c r="H26" s="64">
        <f>H14+H25</f>
        <v/>
      </c>
      <c r="I26" s="230" t="n"/>
      <c r="J26" s="231" t="n"/>
      <c r="K26" s="232" t="n"/>
      <c r="L26" s="52">
        <f>L14+L25</f>
        <v/>
      </c>
      <c r="M26" s="233" t="n"/>
      <c r="N26" s="68">
        <f>N14+N25</f>
        <v/>
      </c>
      <c r="O26" s="205" t="n"/>
      <c r="P26" s="56">
        <f>P14+P25</f>
        <v/>
      </c>
      <c r="S26" s="22" t="n"/>
      <c r="T26" s="22" t="n"/>
    </row>
    <row r="27" ht="34.5" customFormat="1" customHeight="1" s="21" thickBot="1" thickTop="1">
      <c r="A27" s="147" t="inlineStr">
        <is>
          <t>Subcontractors</t>
        </is>
      </c>
      <c r="B27" s="202" t="n"/>
      <c r="C27" s="202" t="n"/>
      <c r="D27" s="202" t="n"/>
      <c r="E27" s="202" t="n"/>
      <c r="F27" s="202" t="n"/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S27" s="22" t="n"/>
      <c r="T27" s="22" t="n"/>
      <c r="U27" s="22" t="n"/>
      <c r="V27" s="22" t="n"/>
      <c r="W27" s="22" t="n"/>
    </row>
    <row r="28" ht="19.5" customFormat="1" customHeight="1" s="21" thickBot="1">
      <c r="A28" s="69" t="inlineStr">
        <is>
          <t>Item</t>
        </is>
      </c>
      <c r="B28" s="69" t="inlineStr">
        <is>
          <t>Task</t>
        </is>
      </c>
      <c r="C28" s="35" t="inlineStr">
        <is>
          <t>Surcharge</t>
        </is>
      </c>
      <c r="D28" s="199" t="n"/>
      <c r="E28" s="35" t="inlineStr">
        <is>
          <t>Days/Units</t>
        </is>
      </c>
      <c r="F28" s="199" t="n"/>
      <c r="G28" s="36" t="inlineStr">
        <is>
          <t>Other</t>
        </is>
      </c>
      <c r="H28" s="199" t="n"/>
      <c r="I28" s="36" t="inlineStr">
        <is>
          <t>Total Surcharge</t>
        </is>
      </c>
      <c r="J28" s="199" t="n"/>
      <c r="K28" s="36" t="inlineStr">
        <is>
          <t>Unit Price</t>
        </is>
      </c>
      <c r="L28" s="199" t="n"/>
      <c r="M28" s="36" t="inlineStr">
        <is>
          <t>Subtotal 1</t>
        </is>
      </c>
      <c r="N28" s="199" t="n"/>
      <c r="O28" s="35" t="inlineStr">
        <is>
          <t>Margin</t>
        </is>
      </c>
      <c r="P28" s="186" t="inlineStr">
        <is>
          <t>Subtotal 2</t>
        </is>
      </c>
      <c r="S28" s="22" t="n"/>
      <c r="T28" s="22" t="n"/>
      <c r="U28" s="22" t="n"/>
      <c r="V28" s="22" t="n"/>
      <c r="W28" s="22" t="n"/>
    </row>
    <row r="29" ht="16.5" customFormat="1" customHeight="1" s="21" thickTop="1">
      <c r="A29" s="13" t="n">
        <v>1</v>
      </c>
      <c r="B29" s="14" t="inlineStr">
        <is>
          <t>MG Power and Associates Inc</t>
        </is>
      </c>
      <c r="C29" s="234" t="n"/>
      <c r="D29" s="235" t="n"/>
      <c r="E29" s="234" t="n"/>
      <c r="F29" s="235" t="n"/>
      <c r="G29" s="234" t="n"/>
      <c r="H29" s="235" t="n"/>
      <c r="I29" s="236">
        <f>C29*E29*G29</f>
        <v/>
      </c>
      <c r="J29" s="220" t="n"/>
      <c r="K29" s="237" t="n"/>
      <c r="L29" s="235" t="n"/>
      <c r="M29" s="238">
        <f>K29*I29</f>
        <v/>
      </c>
      <c r="N29" s="220" t="n"/>
      <c r="O29" s="5" t="n">
        <v>0.85</v>
      </c>
      <c r="P29" s="45">
        <f>M29/O29</f>
        <v/>
      </c>
      <c r="S29" s="22" t="n"/>
      <c r="T29" s="22" t="n"/>
      <c r="U29" s="22" t="n"/>
      <c r="V29" s="22" t="n"/>
      <c r="W29" s="22" t="n"/>
    </row>
    <row r="30" customFormat="1" s="21">
      <c r="A30" s="5" t="n">
        <v>2</v>
      </c>
      <c r="B30" s="18" t="inlineStr">
        <is>
          <t xml:space="preserve">parking </t>
        </is>
      </c>
      <c r="C30" s="5" t="n"/>
      <c r="D30" s="201" t="n"/>
      <c r="E30" s="5" t="n"/>
      <c r="F30" s="201" t="n"/>
      <c r="G30" s="5" t="n"/>
      <c r="H30" s="201" t="n"/>
      <c r="I30" s="5">
        <f>C30*E30*G30</f>
        <v/>
      </c>
      <c r="J30" s="201" t="n"/>
      <c r="K30" s="239" t="n"/>
      <c r="L30" s="201" t="n"/>
      <c r="M30" s="121">
        <f>K30*I30</f>
        <v/>
      </c>
      <c r="N30" s="201" t="n"/>
      <c r="O30" s="5" t="n">
        <v>0.85</v>
      </c>
      <c r="P30" s="50">
        <f>M30/O30</f>
        <v/>
      </c>
      <c r="S30" s="22" t="n"/>
      <c r="T30" s="22" t="n"/>
      <c r="U30" s="22" t="n"/>
      <c r="V30" s="22" t="n"/>
      <c r="W30" s="22" t="n"/>
    </row>
    <row r="31" customFormat="1" s="21">
      <c r="A31" s="5" t="n">
        <v>3</v>
      </c>
      <c r="B31" s="18" t="inlineStr">
        <is>
          <t>Millwrighting</t>
        </is>
      </c>
      <c r="C31" s="5" t="n"/>
      <c r="D31" s="201" t="n"/>
      <c r="E31" s="5" t="n"/>
      <c r="F31" s="201" t="n"/>
      <c r="G31" s="5" t="n"/>
      <c r="H31" s="201" t="n"/>
      <c r="I31" s="5">
        <f>C31*E31*G31</f>
        <v/>
      </c>
      <c r="J31" s="201" t="n"/>
      <c r="K31" s="239" t="n"/>
      <c r="L31" s="201" t="n"/>
      <c r="M31" s="121">
        <f>K31*I31</f>
        <v/>
      </c>
      <c r="N31" s="201" t="n"/>
      <c r="O31" s="5" t="n">
        <v>0.85</v>
      </c>
      <c r="P31" s="50">
        <f>M31/O31</f>
        <v/>
      </c>
      <c r="S31" s="22" t="n"/>
      <c r="T31" s="22" t="n"/>
      <c r="U31" s="22" t="n"/>
      <c r="V31" s="22" t="n"/>
      <c r="W31" s="22" t="n"/>
    </row>
    <row r="32" customFormat="1" s="21">
      <c r="A32" s="5" t="n">
        <v>4</v>
      </c>
      <c r="B32" s="18" t="inlineStr">
        <is>
          <t>Temp Door</t>
        </is>
      </c>
      <c r="C32" s="5" t="n"/>
      <c r="D32" s="201" t="n"/>
      <c r="E32" s="5" t="n"/>
      <c r="F32" s="201" t="n"/>
      <c r="G32" s="5" t="n"/>
      <c r="H32" s="201" t="n"/>
      <c r="I32" s="5">
        <f>C32*E32*G32</f>
        <v/>
      </c>
      <c r="J32" s="201" t="n"/>
      <c r="K32" s="239" t="n"/>
      <c r="L32" s="201" t="n"/>
      <c r="M32" s="121">
        <f>K32*I32</f>
        <v/>
      </c>
      <c r="N32" s="201" t="n"/>
      <c r="O32" s="5" t="n">
        <v>0.85</v>
      </c>
      <c r="P32" s="50">
        <f>M32/O32</f>
        <v/>
      </c>
      <c r="S32" s="22" t="n"/>
      <c r="T32" s="22" t="n"/>
      <c r="U32" s="22" t="n"/>
      <c r="V32" s="22" t="n"/>
      <c r="W32" s="22" t="n"/>
    </row>
    <row r="33" customFormat="1" s="21">
      <c r="A33" s="5" t="n">
        <v>5</v>
      </c>
      <c r="B33" s="18" t="inlineStr">
        <is>
          <t>Bonding Costs</t>
        </is>
      </c>
      <c r="C33" s="5" t="n"/>
      <c r="D33" s="201" t="n"/>
      <c r="E33" s="5" t="n"/>
      <c r="F33" s="201" t="n"/>
      <c r="G33" s="5" t="n"/>
      <c r="H33" s="201" t="n"/>
      <c r="I33" s="5">
        <f>C33*E33*G33</f>
        <v/>
      </c>
      <c r="J33" s="201" t="n"/>
      <c r="K33" s="239" t="n"/>
      <c r="L33" s="201" t="n"/>
      <c r="M33" s="121">
        <f>K33*I33</f>
        <v/>
      </c>
      <c r="N33" s="201" t="n"/>
      <c r="O33" s="5" t="n">
        <v>0.85</v>
      </c>
      <c r="P33" s="50">
        <f>M33/O33</f>
        <v/>
      </c>
      <c r="S33" s="22" t="n"/>
      <c r="T33" s="22" t="n"/>
      <c r="U33" s="22" t="n"/>
      <c r="V33" s="22" t="n"/>
      <c r="W33" s="22" t="n"/>
    </row>
    <row r="34" customFormat="1" s="21">
      <c r="A34" s="5" t="n"/>
      <c r="B34" s="18" t="n"/>
      <c r="C34" s="5" t="n"/>
      <c r="D34" s="201" t="n"/>
      <c r="E34" s="5" t="n"/>
      <c r="F34" s="201" t="n"/>
      <c r="G34" s="5" t="n"/>
      <c r="H34" s="201" t="n"/>
      <c r="I34" s="5">
        <f>C34*E34*G34</f>
        <v/>
      </c>
      <c r="J34" s="201" t="n"/>
      <c r="K34" s="239" t="n"/>
      <c r="L34" s="201" t="n"/>
      <c r="M34" s="121">
        <f>K34*I34</f>
        <v/>
      </c>
      <c r="N34" s="201" t="n"/>
      <c r="O34" s="5" t="n">
        <v>0.85</v>
      </c>
      <c r="P34" s="50">
        <f>M34/O34</f>
        <v/>
      </c>
      <c r="S34" s="22" t="n"/>
      <c r="T34" s="22" t="n"/>
      <c r="U34" s="22" t="n"/>
      <c r="V34" s="22" t="n"/>
      <c r="W34" s="22" t="n"/>
    </row>
    <row r="35" customFormat="1" s="21">
      <c r="A35" s="5" t="n"/>
      <c r="B35" s="18" t="n"/>
      <c r="C35" s="5" t="n"/>
      <c r="D35" s="201" t="n"/>
      <c r="E35" s="5" t="n"/>
      <c r="F35" s="201" t="n"/>
      <c r="G35" s="5" t="n"/>
      <c r="H35" s="201" t="n"/>
      <c r="I35" s="13">
        <f>C35*E35*G35</f>
        <v/>
      </c>
      <c r="J35" s="206" t="n"/>
      <c r="K35" s="239" t="n"/>
      <c r="L35" s="201" t="n"/>
      <c r="M35" s="15">
        <f>K35*I35</f>
        <v/>
      </c>
      <c r="N35" s="206" t="n"/>
      <c r="O35" s="5" t="n">
        <v>0.85</v>
      </c>
      <c r="P35" s="50">
        <f>M35/O35</f>
        <v/>
      </c>
      <c r="S35" s="22" t="n"/>
      <c r="T35" s="22" t="n"/>
      <c r="U35" s="22" t="n"/>
      <c r="V35" s="22" t="n"/>
      <c r="W35" s="22" t="n"/>
    </row>
    <row r="36" ht="15.75" customFormat="1" customHeight="1" s="21" thickBot="1">
      <c r="A36" s="128" t="inlineStr">
        <is>
          <t>Subtotal Subcontractors</t>
        </is>
      </c>
      <c r="B36" s="240" t="n"/>
      <c r="C36" s="240" t="n"/>
      <c r="D36" s="240" t="n"/>
      <c r="E36" s="240" t="n"/>
      <c r="F36" s="240" t="n"/>
      <c r="G36" s="240" t="n"/>
      <c r="H36" s="240" t="n"/>
      <c r="I36" s="240" t="n"/>
      <c r="J36" s="240" t="n"/>
      <c r="K36" s="240" t="n"/>
      <c r="L36" s="240" t="n"/>
      <c r="M36" s="240" t="n"/>
      <c r="N36" s="240" t="n"/>
      <c r="O36" s="240" t="n"/>
      <c r="P36" s="56">
        <f>SUM(P29:P35)</f>
        <v/>
      </c>
      <c r="S36" s="22" t="n"/>
      <c r="T36" s="22" t="n"/>
      <c r="U36" s="22" t="n"/>
      <c r="V36" s="22" t="n"/>
      <c r="W36" s="22" t="n"/>
    </row>
    <row r="37" ht="34.5" customHeight="1" thickBot="1">
      <c r="A37" s="150" t="inlineStr">
        <is>
          <t>Materials and Equipment</t>
        </is>
      </c>
      <c r="B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9" t="n"/>
      <c r="S37" s="22" t="n"/>
      <c r="T37" s="22" t="n"/>
      <c r="U37" s="22" t="n"/>
      <c r="V37" s="22" t="n"/>
      <c r="W37" s="22" t="n"/>
    </row>
    <row r="38" ht="19.5" customHeight="1" thickBot="1">
      <c r="A38" s="69" t="inlineStr">
        <is>
          <t>Item</t>
        </is>
      </c>
      <c r="B38" s="69" t="inlineStr">
        <is>
          <t>Material Item</t>
        </is>
      </c>
      <c r="C38" s="35" t="inlineStr">
        <is>
          <t>Surcharge</t>
        </is>
      </c>
      <c r="D38" s="199" t="n"/>
      <c r="E38" s="35" t="inlineStr">
        <is>
          <t>Units/Length</t>
        </is>
      </c>
      <c r="F38" s="199" t="n"/>
      <c r="G38" s="36" t="inlineStr">
        <is>
          <t>Other</t>
        </is>
      </c>
      <c r="H38" s="199" t="n"/>
      <c r="I38" s="36" t="inlineStr">
        <is>
          <t>Total Surcharge</t>
        </is>
      </c>
      <c r="J38" s="199" t="n"/>
      <c r="K38" s="36" t="inlineStr">
        <is>
          <t>Unit Price</t>
        </is>
      </c>
      <c r="L38" s="199" t="n"/>
      <c r="M38" s="36" t="inlineStr">
        <is>
          <t>Subtotal 1</t>
        </is>
      </c>
      <c r="N38" s="199" t="n"/>
      <c r="O38" s="35" t="inlineStr">
        <is>
          <t>Margin</t>
        </is>
      </c>
      <c r="P38" s="186" t="inlineStr">
        <is>
          <t>Subtotal 2</t>
        </is>
      </c>
      <c r="S38" s="22" t="n"/>
      <c r="T38" s="22" t="n"/>
      <c r="U38" s="22" t="n"/>
      <c r="V38" s="22" t="n"/>
      <c r="W38" s="22" t="n"/>
    </row>
    <row r="39" ht="16.5" customHeight="1" thickTop="1">
      <c r="A39" s="13" t="n">
        <v>1</v>
      </c>
      <c r="B39" s="14" t="inlineStr">
        <is>
          <t>ABB SWGR</t>
        </is>
      </c>
      <c r="C39" s="236" t="n"/>
      <c r="D39" s="220" t="n"/>
      <c r="E39" s="236" t="n"/>
      <c r="F39" s="220" t="n"/>
      <c r="G39" s="236" t="n"/>
      <c r="H39" s="220" t="n"/>
      <c r="I39" s="236">
        <f>G39*E39*C39</f>
        <v/>
      </c>
      <c r="J39" s="220" t="n"/>
      <c r="K39" s="241" t="n"/>
      <c r="L39" s="220" t="n"/>
      <c r="M39" s="238">
        <f>K39*I39</f>
        <v/>
      </c>
      <c r="N39" s="220" t="n"/>
      <c r="O39" s="5" t="n">
        <v>0.85</v>
      </c>
      <c r="P39" s="70">
        <f>M39/O39</f>
        <v/>
      </c>
      <c r="S39" s="22" t="n"/>
      <c r="T39" s="22" t="n"/>
      <c r="U39" s="22" t="n"/>
      <c r="V39" s="22" t="n"/>
      <c r="W39" s="22" t="n"/>
    </row>
    <row r="40" customFormat="1" s="22">
      <c r="A40" s="13" t="n">
        <v>2</v>
      </c>
      <c r="B40" s="18" t="inlineStr">
        <is>
          <t>parking</t>
        </is>
      </c>
      <c r="C40" s="5" t="n"/>
      <c r="D40" s="201" t="n"/>
      <c r="E40" s="5" t="n"/>
      <c r="F40" s="201" t="n"/>
      <c r="G40" s="5" t="n"/>
      <c r="H40" s="201" t="n"/>
      <c r="I40" s="5">
        <f>G40*E40*C40</f>
        <v/>
      </c>
      <c r="J40" s="201" t="n"/>
      <c r="K40" s="239" t="n"/>
      <c r="L40" s="201" t="n"/>
      <c r="M40" s="121">
        <f>K40*I40</f>
        <v/>
      </c>
      <c r="N40" s="201" t="n"/>
      <c r="O40" s="5" t="n">
        <v>0.85</v>
      </c>
      <c r="P40" s="71">
        <f>M40/O40</f>
        <v/>
      </c>
    </row>
    <row r="41" customFormat="1" s="22">
      <c r="A41" s="13" t="n">
        <v>3</v>
      </c>
      <c r="B41" s="18" t="n"/>
      <c r="C41" s="5" t="n"/>
      <c r="D41" s="201" t="n"/>
      <c r="E41" s="5" t="n"/>
      <c r="F41" s="201" t="n"/>
      <c r="G41" s="5" t="n"/>
      <c r="H41" s="201" t="n"/>
      <c r="I41" s="5">
        <f>G41*E41*C41</f>
        <v/>
      </c>
      <c r="J41" s="201" t="n"/>
      <c r="K41" s="239" t="n"/>
      <c r="L41" s="201" t="n"/>
      <c r="M41" s="121">
        <f>K41*I41</f>
        <v/>
      </c>
      <c r="N41" s="201" t="n"/>
      <c r="O41" s="5" t="n">
        <v>0.85</v>
      </c>
      <c r="P41" s="71">
        <f>M41/O41</f>
        <v/>
      </c>
    </row>
    <row r="42" customFormat="1" s="22">
      <c r="A42" s="13" t="n">
        <v>4</v>
      </c>
      <c r="B42" s="18" t="n"/>
      <c r="C42" s="5" t="n"/>
      <c r="D42" s="201" t="n"/>
      <c r="E42" s="5" t="n"/>
      <c r="F42" s="201" t="n"/>
      <c r="G42" s="5" t="n"/>
      <c r="H42" s="201" t="n"/>
      <c r="I42" s="5">
        <f>G42*E42*C42</f>
        <v/>
      </c>
      <c r="J42" s="201" t="n"/>
      <c r="K42" s="239" t="n"/>
      <c r="L42" s="201" t="n"/>
      <c r="M42" s="121">
        <f>K42*I42</f>
        <v/>
      </c>
      <c r="N42" s="201" t="n"/>
      <c r="O42" s="5" t="n">
        <v>0.85</v>
      </c>
      <c r="P42" s="71">
        <f>M42/O42</f>
        <v/>
      </c>
    </row>
    <row r="43" customFormat="1" s="22">
      <c r="A43" s="13" t="n">
        <v>5</v>
      </c>
      <c r="B43" s="18" t="n"/>
      <c r="C43" s="5" t="n"/>
      <c r="D43" s="201" t="n"/>
      <c r="E43" s="5" t="n"/>
      <c r="F43" s="201" t="n"/>
      <c r="G43" s="5" t="n"/>
      <c r="H43" s="201" t="n"/>
      <c r="I43" s="5">
        <f>G43*E43*C43</f>
        <v/>
      </c>
      <c r="J43" s="201" t="n"/>
      <c r="K43" s="239" t="n"/>
      <c r="L43" s="201" t="n"/>
      <c r="M43" s="121">
        <f>K43*I43</f>
        <v/>
      </c>
      <c r="N43" s="201" t="n"/>
      <c r="O43" s="5" t="n">
        <v>0.85</v>
      </c>
      <c r="P43" s="71">
        <f>M43/O43</f>
        <v/>
      </c>
    </row>
    <row r="44" customFormat="1" s="22">
      <c r="A44" s="13" t="n">
        <v>6</v>
      </c>
      <c r="B44" s="18" t="n"/>
      <c r="C44" s="5" t="n"/>
      <c r="D44" s="201" t="n"/>
      <c r="E44" s="5" t="n"/>
      <c r="F44" s="201" t="n"/>
      <c r="G44" s="5" t="n"/>
      <c r="H44" s="201" t="n"/>
      <c r="I44" s="5">
        <f>G44*E44*C44</f>
        <v/>
      </c>
      <c r="J44" s="201" t="n"/>
      <c r="K44" s="239" t="n"/>
      <c r="L44" s="201" t="n"/>
      <c r="M44" s="121">
        <f>K44*I44</f>
        <v/>
      </c>
      <c r="N44" s="201" t="n"/>
      <c r="O44" s="5" t="n">
        <v>0.85</v>
      </c>
      <c r="P44" s="71">
        <f>M44/O44</f>
        <v/>
      </c>
    </row>
    <row r="45" customFormat="1" s="22">
      <c r="A45" s="13" t="n">
        <v>7</v>
      </c>
      <c r="B45" s="18" t="n"/>
      <c r="C45" s="5" t="n"/>
      <c r="D45" s="201" t="n"/>
      <c r="E45" s="5" t="n"/>
      <c r="F45" s="201" t="n"/>
      <c r="G45" s="5" t="n"/>
      <c r="H45" s="201" t="n"/>
      <c r="I45" s="5">
        <f>G45*E45*C45</f>
        <v/>
      </c>
      <c r="J45" s="201" t="n"/>
      <c r="K45" s="239" t="n"/>
      <c r="L45" s="201" t="n"/>
      <c r="M45" s="121">
        <f>K45*I45</f>
        <v/>
      </c>
      <c r="N45" s="201" t="n"/>
      <c r="O45" s="5" t="n">
        <v>0.85</v>
      </c>
      <c r="P45" s="71">
        <f>M45/O45</f>
        <v/>
      </c>
    </row>
    <row r="46" customFormat="1" s="22">
      <c r="A46" s="13" t="n">
        <v>8</v>
      </c>
      <c r="B46" s="18" t="n"/>
      <c r="C46" s="5" t="n"/>
      <c r="D46" s="201" t="n"/>
      <c r="E46" s="5" t="n"/>
      <c r="F46" s="201" t="n"/>
      <c r="G46" s="5" t="n"/>
      <c r="H46" s="201" t="n"/>
      <c r="I46" s="5">
        <f>G46*E46*C46</f>
        <v/>
      </c>
      <c r="J46" s="201" t="n"/>
      <c r="K46" s="239" t="n"/>
      <c r="L46" s="201" t="n"/>
      <c r="M46" s="121">
        <f>K46*I46</f>
        <v/>
      </c>
      <c r="N46" s="201" t="n"/>
      <c r="O46" s="5" t="n">
        <v>0.85</v>
      </c>
      <c r="P46" s="71">
        <f>M46/O46</f>
        <v/>
      </c>
    </row>
    <row r="47" customFormat="1" s="22">
      <c r="A47" s="13" t="n">
        <v>9</v>
      </c>
      <c r="B47" s="18" t="n"/>
      <c r="C47" s="5" t="n"/>
      <c r="D47" s="201" t="n"/>
      <c r="E47" s="5" t="n"/>
      <c r="F47" s="201" t="n"/>
      <c r="G47" s="5" t="n"/>
      <c r="H47" s="201" t="n"/>
      <c r="I47" s="5">
        <f>G47*E47*C47</f>
        <v/>
      </c>
      <c r="J47" s="201" t="n"/>
      <c r="K47" s="239" t="n"/>
      <c r="L47" s="201" t="n"/>
      <c r="M47" s="121">
        <f>K47*I47</f>
        <v/>
      </c>
      <c r="N47" s="201" t="n"/>
      <c r="O47" s="5" t="n">
        <v>0.85</v>
      </c>
      <c r="P47" s="71">
        <f>M47/O47</f>
        <v/>
      </c>
    </row>
    <row r="48" customFormat="1" s="22">
      <c r="A48" s="13" t="n">
        <v>10</v>
      </c>
      <c r="B48" s="18" t="n"/>
      <c r="C48" s="5" t="n"/>
      <c r="D48" s="201" t="n"/>
      <c r="E48" s="5" t="n"/>
      <c r="F48" s="201" t="n"/>
      <c r="G48" s="5" t="n"/>
      <c r="H48" s="201" t="n"/>
      <c r="I48" s="5">
        <f>G48*E48*C48</f>
        <v/>
      </c>
      <c r="J48" s="201" t="n"/>
      <c r="K48" s="239" t="n"/>
      <c r="L48" s="201" t="n"/>
      <c r="M48" s="121">
        <f>K48*I48</f>
        <v/>
      </c>
      <c r="N48" s="201" t="n"/>
      <c r="O48" s="5" t="n">
        <v>0.85</v>
      </c>
      <c r="P48" s="71">
        <f>M48/O48</f>
        <v/>
      </c>
    </row>
    <row r="49" customFormat="1" s="22">
      <c r="A49" s="13" t="n">
        <v>11</v>
      </c>
      <c r="B49" s="18" t="n"/>
      <c r="C49" s="5" t="n"/>
      <c r="D49" s="201" t="n"/>
      <c r="E49" s="5" t="n"/>
      <c r="F49" s="201" t="n"/>
      <c r="G49" s="5" t="n"/>
      <c r="H49" s="201" t="n"/>
      <c r="I49" s="5">
        <f>G49*E49*C49</f>
        <v/>
      </c>
      <c r="J49" s="201" t="n"/>
      <c r="K49" s="239" t="n"/>
      <c r="L49" s="201" t="n"/>
      <c r="M49" s="121">
        <f>K49*I49</f>
        <v/>
      </c>
      <c r="N49" s="201" t="n"/>
      <c r="O49" s="5" t="n">
        <v>0.85</v>
      </c>
      <c r="P49" s="71">
        <f>M49/O49</f>
        <v/>
      </c>
    </row>
    <row r="50" customFormat="1" s="22">
      <c r="A50" s="13" t="n">
        <v>12</v>
      </c>
      <c r="B50" s="18" t="n"/>
      <c r="C50" s="5" t="n"/>
      <c r="D50" s="201" t="n"/>
      <c r="E50" s="5" t="n"/>
      <c r="F50" s="201" t="n"/>
      <c r="G50" s="5" t="n"/>
      <c r="H50" s="201" t="n"/>
      <c r="I50" s="5">
        <f>G50*E50*C50</f>
        <v/>
      </c>
      <c r="J50" s="201" t="n"/>
      <c r="K50" s="239" t="n"/>
      <c r="L50" s="201" t="n"/>
      <c r="M50" s="121">
        <f>K50*I50</f>
        <v/>
      </c>
      <c r="N50" s="201" t="n"/>
      <c r="O50" s="5" t="n">
        <v>0.85</v>
      </c>
      <c r="P50" s="71">
        <f>M50/O50</f>
        <v/>
      </c>
    </row>
    <row r="51" customFormat="1" s="22">
      <c r="A51" s="13" t="n">
        <v>13</v>
      </c>
      <c r="B51" s="18" t="inlineStr">
        <is>
          <t>Rigid 90deg - 2"</t>
        </is>
      </c>
      <c r="C51" s="5" t="n"/>
      <c r="D51" s="201" t="n"/>
      <c r="E51" s="5" t="n"/>
      <c r="F51" s="201" t="n"/>
      <c r="G51" s="5" t="n"/>
      <c r="H51" s="201" t="n"/>
      <c r="I51" s="5">
        <f>G51*E51*C51</f>
        <v/>
      </c>
      <c r="J51" s="201" t="n"/>
      <c r="K51" s="239" t="n"/>
      <c r="L51" s="201" t="n"/>
      <c r="M51" s="121">
        <f>K51*I51</f>
        <v/>
      </c>
      <c r="N51" s="201" t="n"/>
      <c r="O51" s="5" t="n">
        <v>0.85</v>
      </c>
      <c r="P51" s="71">
        <f>M51/O51</f>
        <v/>
      </c>
    </row>
    <row r="52" customFormat="1" s="22">
      <c r="A52" s="13" t="n">
        <v>14</v>
      </c>
      <c r="B52" s="18" t="inlineStr">
        <is>
          <t>Rigid Bullet Hub Connectors - 2" and Nut</t>
        </is>
      </c>
      <c r="C52" s="5" t="n"/>
      <c r="D52" s="201" t="n"/>
      <c r="E52" s="5" t="n"/>
      <c r="F52" s="201" t="n"/>
      <c r="G52" s="5" t="n"/>
      <c r="H52" s="201" t="n"/>
      <c r="I52" s="5">
        <f>G52*E52*C52</f>
        <v/>
      </c>
      <c r="J52" s="201" t="n"/>
      <c r="K52" s="239" t="n"/>
      <c r="L52" s="201" t="n"/>
      <c r="M52" s="121">
        <f>K52*I52</f>
        <v/>
      </c>
      <c r="N52" s="201" t="n"/>
      <c r="O52" s="5" t="n">
        <v>0.85</v>
      </c>
      <c r="P52" s="71">
        <f>M52/O52</f>
        <v/>
      </c>
    </row>
    <row r="53" customFormat="1" s="22">
      <c r="A53" s="13" t="n">
        <v>15</v>
      </c>
      <c r="B53" s="72" t="inlineStr">
        <is>
          <t>YGA282N - 2 Hole Lug, #4/o AWG</t>
        </is>
      </c>
      <c r="C53" s="5" t="n"/>
      <c r="D53" s="201" t="n"/>
      <c r="E53" s="5" t="n"/>
      <c r="F53" s="201" t="n"/>
      <c r="G53" s="5" t="n"/>
      <c r="H53" s="201" t="n"/>
      <c r="I53" s="5">
        <f>G53*E53*C53</f>
        <v/>
      </c>
      <c r="J53" s="201" t="n"/>
      <c r="K53" s="239" t="n"/>
      <c r="L53" s="201" t="n"/>
      <c r="M53" s="121">
        <f>K53*I53</f>
        <v/>
      </c>
      <c r="N53" s="201" t="n"/>
      <c r="O53" s="5" t="n">
        <v>0.85</v>
      </c>
      <c r="P53" s="71">
        <f>M53/O53</f>
        <v/>
      </c>
    </row>
    <row r="54" customFormat="1" s="22">
      <c r="A54" s="13" t="n">
        <v>16</v>
      </c>
      <c r="B54" s="72" t="inlineStr">
        <is>
          <t>Mounting tape - VBH F-9473PB by 3M</t>
        </is>
      </c>
      <c r="C54" s="5" t="n"/>
      <c r="D54" s="201" t="n"/>
      <c r="E54" s="5" t="n"/>
      <c r="F54" s="201" t="n"/>
      <c r="G54" s="5" t="n"/>
      <c r="H54" s="201" t="n"/>
      <c r="I54" s="5">
        <f>G54*E54*C54</f>
        <v/>
      </c>
      <c r="J54" s="201" t="n"/>
      <c r="K54" s="239" t="n"/>
      <c r="L54" s="201" t="n"/>
      <c r="M54" s="121">
        <f>K54*I54</f>
        <v/>
      </c>
      <c r="N54" s="201" t="n"/>
      <c r="O54" s="5" t="n">
        <v>0.85</v>
      </c>
      <c r="P54" s="71">
        <f>M54/O54</f>
        <v/>
      </c>
    </row>
    <row r="55" customFormat="1" s="22">
      <c r="A55" s="13" t="n">
        <v>17</v>
      </c>
      <c r="B55" s="72" t="inlineStr">
        <is>
          <t>Foam tape - VBH F-4910 by 3M</t>
        </is>
      </c>
      <c r="C55" s="5" t="n"/>
      <c r="D55" s="201" t="n"/>
      <c r="E55" s="5" t="n"/>
      <c r="F55" s="201" t="n"/>
      <c r="G55" s="5" t="n"/>
      <c r="H55" s="201" t="n"/>
      <c r="I55" s="5">
        <f>G55*E55*C55</f>
        <v/>
      </c>
      <c r="J55" s="201" t="n"/>
      <c r="K55" s="239" t="n"/>
      <c r="L55" s="201" t="n"/>
      <c r="M55" s="121">
        <f>K55*I55</f>
        <v/>
      </c>
      <c r="N55" s="201" t="n"/>
      <c r="O55" s="5" t="n">
        <v>0.85</v>
      </c>
      <c r="P55" s="71">
        <f>M55/O55</f>
        <v/>
      </c>
    </row>
    <row r="56" customFormat="1" s="22">
      <c r="A56" s="13" t="n">
        <v>18</v>
      </c>
      <c r="B56" s="72" t="inlineStr">
        <is>
          <t>AS-7096N Sealant</t>
        </is>
      </c>
      <c r="C56" s="5" t="n"/>
      <c r="D56" s="201" t="n"/>
      <c r="E56" s="5" t="n"/>
      <c r="F56" s="201" t="n"/>
      <c r="G56" s="5" t="n"/>
      <c r="H56" s="201" t="n"/>
      <c r="I56" s="5">
        <f>G56*E56*C56</f>
        <v/>
      </c>
      <c r="J56" s="201" t="n"/>
      <c r="K56" s="239" t="n"/>
      <c r="L56" s="201" t="n"/>
      <c r="M56" s="121">
        <f>K56*I56</f>
        <v/>
      </c>
      <c r="N56" s="201" t="n"/>
      <c r="O56" s="5" t="n">
        <v>0.85</v>
      </c>
      <c r="P56" s="71">
        <f>M56/O56</f>
        <v/>
      </c>
    </row>
    <row r="57" customFormat="1" s="22">
      <c r="A57" s="13" t="n">
        <v>19</v>
      </c>
      <c r="B57" s="72" t="inlineStr">
        <is>
          <t>Breaker HLL36060</t>
        </is>
      </c>
      <c r="C57" s="5" t="n"/>
      <c r="D57" s="201" t="n"/>
      <c r="E57" s="5" t="n"/>
      <c r="F57" s="201" t="n"/>
      <c r="G57" s="5" t="n"/>
      <c r="H57" s="201" t="n"/>
      <c r="I57" s="5">
        <f>G57*E57*C57</f>
        <v/>
      </c>
      <c r="J57" s="201" t="n"/>
      <c r="K57" s="239" t="n"/>
      <c r="L57" s="201" t="n"/>
      <c r="M57" s="121">
        <f>K57*I57</f>
        <v/>
      </c>
      <c r="N57" s="201" t="n"/>
      <c r="O57" s="5" t="n">
        <v>0.85</v>
      </c>
      <c r="P57" s="71">
        <f>M57/O57</f>
        <v/>
      </c>
    </row>
    <row r="58" ht="31.5" customFormat="1" customHeight="1" s="22">
      <c r="A58" s="13" t="n">
        <v>20</v>
      </c>
      <c r="B58" s="72" t="inlineStr">
        <is>
          <t>Pull Box, EEMAC-1 300mX300mmX150mm (P/N: CS12126)</t>
        </is>
      </c>
      <c r="C58" s="5" t="n"/>
      <c r="D58" s="201" t="n"/>
      <c r="E58" s="5" t="n"/>
      <c r="F58" s="201" t="n"/>
      <c r="G58" s="5" t="n"/>
      <c r="H58" s="201" t="n"/>
      <c r="I58" s="5">
        <f>G58*E58*C58</f>
        <v/>
      </c>
      <c r="J58" s="201" t="n"/>
      <c r="K58" s="239" t="n"/>
      <c r="L58" s="201" t="n"/>
      <c r="M58" s="121">
        <f>K58*I58</f>
        <v/>
      </c>
      <c r="N58" s="201" t="n"/>
      <c r="O58" s="5" t="n">
        <v>0.85</v>
      </c>
      <c r="P58" s="71">
        <f>M58/O58</f>
        <v/>
      </c>
    </row>
    <row r="59" customFormat="1" s="22">
      <c r="A59" s="13" t="n">
        <v>27</v>
      </c>
      <c r="B59" s="72" t="inlineStr">
        <is>
          <t>Aluminum Bracket (Aluma Form)</t>
        </is>
      </c>
      <c r="C59" s="5" t="n"/>
      <c r="D59" s="201" t="n"/>
      <c r="E59" s="5" t="n"/>
      <c r="F59" s="201" t="n"/>
      <c r="G59" s="5" t="n"/>
      <c r="H59" s="201" t="n"/>
      <c r="I59" s="5">
        <f>G59*E59*C59</f>
        <v/>
      </c>
      <c r="J59" s="201" t="n"/>
      <c r="K59" s="239" t="n"/>
      <c r="L59" s="201" t="n"/>
      <c r="M59" s="121">
        <f>K59*I59</f>
        <v/>
      </c>
      <c r="N59" s="201" t="n"/>
      <c r="O59" s="5" t="n">
        <v>0.85</v>
      </c>
      <c r="P59" s="71">
        <f>M59/O59</f>
        <v/>
      </c>
    </row>
    <row r="60">
      <c r="A60" s="13" t="n">
        <v>28</v>
      </c>
      <c r="B60" s="18" t="n"/>
      <c r="C60" s="5" t="n"/>
      <c r="D60" s="201" t="n"/>
      <c r="E60" s="5" t="n"/>
      <c r="F60" s="201" t="n"/>
      <c r="G60" s="5" t="n"/>
      <c r="H60" s="201" t="n"/>
      <c r="I60" s="5">
        <f>G60*E60*C60</f>
        <v/>
      </c>
      <c r="J60" s="201" t="n"/>
      <c r="K60" s="239" t="n"/>
      <c r="L60" s="201" t="n"/>
      <c r="M60" s="121">
        <f>K60*I60</f>
        <v/>
      </c>
      <c r="N60" s="201" t="n"/>
      <c r="O60" s="5" t="n">
        <v>0.85</v>
      </c>
      <c r="P60" s="71">
        <f>M60/O60</f>
        <v/>
      </c>
      <c r="S60" s="22" t="n"/>
      <c r="T60" s="22" t="n"/>
      <c r="U60" s="22" t="n"/>
      <c r="V60" s="22" t="n"/>
      <c r="W60" s="22" t="n"/>
    </row>
    <row r="61">
      <c r="A61" s="13" t="n">
        <v>29</v>
      </c>
      <c r="B61" s="4" t="n"/>
      <c r="C61" s="5" t="n"/>
      <c r="D61" s="201" t="n"/>
      <c r="E61" s="5" t="n"/>
      <c r="F61" s="201" t="n"/>
      <c r="G61" s="5" t="n"/>
      <c r="H61" s="201" t="n"/>
      <c r="I61" s="5">
        <f>G61*E61*C61</f>
        <v/>
      </c>
      <c r="J61" s="201" t="n"/>
      <c r="K61" s="239" t="n"/>
      <c r="L61" s="201" t="n"/>
      <c r="M61" s="121">
        <f>K61*I61</f>
        <v/>
      </c>
      <c r="N61" s="201" t="n"/>
      <c r="O61" s="5" t="n">
        <v>0.85</v>
      </c>
      <c r="P61" s="71">
        <f>M61/O61</f>
        <v/>
      </c>
      <c r="S61" s="22" t="n"/>
      <c r="T61" s="73" t="n"/>
      <c r="U61" s="22" t="n"/>
      <c r="V61" s="22" t="n"/>
      <c r="W61" s="22" t="n"/>
    </row>
    <row r="62" ht="16.5" customFormat="1" customHeight="1" s="21" thickBot="1">
      <c r="A62" s="109" t="inlineStr">
        <is>
          <t>Subtotal Materials and Equipment</t>
        </is>
      </c>
      <c r="B62" s="200" t="n"/>
      <c r="C62" s="200" t="n"/>
      <c r="D62" s="200" t="n"/>
      <c r="E62" s="200" t="n"/>
      <c r="F62" s="200" t="n"/>
      <c r="G62" s="200" t="n"/>
      <c r="H62" s="200" t="n"/>
      <c r="I62" s="200" t="n"/>
      <c r="J62" s="200" t="n"/>
      <c r="K62" s="200" t="n"/>
      <c r="L62" s="200" t="n"/>
      <c r="M62" s="200" t="n"/>
      <c r="N62" s="200" t="n"/>
      <c r="O62" s="200" t="n"/>
      <c r="P62" s="74">
        <f>SUM(P39:P61)</f>
        <v/>
      </c>
      <c r="S62" s="22" t="n"/>
      <c r="T62" s="22" t="n"/>
      <c r="U62" s="22" t="n"/>
      <c r="V62" s="22" t="n"/>
      <c r="W62" s="22" t="n"/>
    </row>
    <row r="63" ht="16.5" customHeight="1" thickTop="1">
      <c r="A63" s="33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3" t="n"/>
      <c r="S63" s="22" t="n"/>
      <c r="T63" s="22" t="n"/>
      <c r="U63" s="22" t="n"/>
      <c r="V63" s="22" t="n"/>
      <c r="W63" s="22" t="n"/>
    </row>
    <row r="64">
      <c r="A64" s="204" t="n"/>
      <c r="B64" s="205" t="n"/>
      <c r="C64" s="205" t="n"/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  <c r="O64" s="205" t="n"/>
      <c r="P64" s="206" t="n"/>
      <c r="S64" s="22" t="n"/>
      <c r="T64" s="22" t="n"/>
      <c r="U64" s="22" t="n"/>
      <c r="V64" s="22" t="n"/>
      <c r="W64" s="22" t="n"/>
    </row>
    <row r="65">
      <c r="A65" s="103" t="inlineStr">
        <is>
          <t>Project Subtotal</t>
        </is>
      </c>
      <c r="B65" s="200" t="n"/>
      <c r="C65" s="200" t="n"/>
      <c r="D65" s="200" t="n"/>
      <c r="E65" s="200" t="n"/>
      <c r="F65" s="200" t="n"/>
      <c r="G65" s="200" t="n"/>
      <c r="H65" s="200" t="n"/>
      <c r="I65" s="200" t="n"/>
      <c r="J65" s="200" t="n"/>
      <c r="K65" s="200" t="n"/>
      <c r="L65" s="200" t="n"/>
      <c r="M65" s="200" t="n"/>
      <c r="N65" s="200" t="n"/>
      <c r="O65" s="201" t="n"/>
      <c r="P65" s="75">
        <f>P26+P36+P62</f>
        <v/>
      </c>
      <c r="S65" s="22" t="n"/>
      <c r="T65" s="22" t="n"/>
      <c r="U65" s="22" t="n"/>
      <c r="V65" s="22" t="n"/>
      <c r="W65" s="22" t="n"/>
    </row>
    <row r="66">
      <c r="A66" s="103" t="n"/>
      <c r="B66" s="200" t="n"/>
      <c r="C66" s="200" t="n"/>
      <c r="D66" s="200" t="n"/>
      <c r="E66" s="200" t="n"/>
      <c r="F66" s="200" t="n"/>
      <c r="G66" s="200" t="n"/>
      <c r="H66" s="200" t="n"/>
      <c r="I66" s="200" t="n"/>
      <c r="J66" s="200" t="n"/>
      <c r="K66" s="200" t="n"/>
      <c r="L66" s="200" t="n"/>
      <c r="M66" s="200" t="n"/>
      <c r="N66" s="200" t="n"/>
      <c r="O66" s="200" t="n"/>
      <c r="P66" s="201" t="n"/>
      <c r="S66" s="22" t="n"/>
      <c r="T66" s="22" t="n"/>
      <c r="U66" s="22" t="n"/>
      <c r="V66" s="22" t="n"/>
      <c r="W66" s="22" t="n"/>
    </row>
    <row r="67">
      <c r="A67" s="103" t="inlineStr">
        <is>
          <t>Cash Allowance</t>
        </is>
      </c>
      <c r="B67" s="200" t="n"/>
      <c r="C67" s="200" t="n"/>
      <c r="D67" s="200" t="n"/>
      <c r="E67" s="200" t="n"/>
      <c r="F67" s="200" t="n"/>
      <c r="G67" s="200" t="n"/>
      <c r="H67" s="200" t="n"/>
      <c r="I67" s="200" t="n"/>
      <c r="J67" s="200" t="n"/>
      <c r="K67" s="200" t="n"/>
      <c r="L67" s="200" t="n"/>
      <c r="M67" s="200" t="n"/>
      <c r="N67" s="200" t="n"/>
      <c r="O67" s="201" t="n"/>
      <c r="P67" s="75" t="n">
        <v>0</v>
      </c>
      <c r="S67" s="22" t="n"/>
      <c r="T67" s="22" t="n"/>
      <c r="U67" s="22" t="n"/>
      <c r="V67" s="22" t="n"/>
      <c r="W67" s="22" t="n"/>
    </row>
    <row r="68">
      <c r="A68" s="103" t="n"/>
      <c r="B68" s="200" t="n"/>
      <c r="C68" s="200" t="n"/>
      <c r="D68" s="200" t="n"/>
      <c r="E68" s="200" t="n"/>
      <c r="F68" s="200" t="n"/>
      <c r="G68" s="200" t="n"/>
      <c r="H68" s="200" t="n"/>
      <c r="I68" s="200" t="n"/>
      <c r="J68" s="200" t="n"/>
      <c r="K68" s="200" t="n"/>
      <c r="L68" s="200" t="n"/>
      <c r="M68" s="200" t="n"/>
      <c r="N68" s="200" t="n"/>
      <c r="O68" s="200" t="n"/>
      <c r="P68" s="201" t="n"/>
      <c r="S68" s="22" t="n"/>
      <c r="T68" s="22" t="n"/>
      <c r="U68" s="22" t="n"/>
      <c r="V68" s="22" t="n"/>
      <c r="W68" s="22" t="n"/>
    </row>
    <row r="69">
      <c r="A69" s="103" t="inlineStr">
        <is>
          <t>Utility Isolation</t>
        </is>
      </c>
      <c r="B69" s="200" t="n"/>
      <c r="C69" s="200" t="n"/>
      <c r="D69" s="200" t="n"/>
      <c r="E69" s="200" t="n"/>
      <c r="F69" s="200" t="n"/>
      <c r="G69" s="200" t="n"/>
      <c r="H69" s="200" t="n"/>
      <c r="I69" s="200" t="n"/>
      <c r="J69" s="200" t="n"/>
      <c r="K69" s="200" t="n"/>
      <c r="L69" s="200" t="n"/>
      <c r="M69" s="200" t="n"/>
      <c r="N69" s="200" t="n"/>
      <c r="O69" s="201" t="n"/>
      <c r="P69" s="75" t="n">
        <v>0</v>
      </c>
      <c r="S69" s="22" t="n"/>
      <c r="T69" s="22" t="n"/>
      <c r="U69" s="22" t="n"/>
      <c r="V69" s="22" t="n"/>
      <c r="W69" s="22" t="n"/>
    </row>
    <row r="70">
      <c r="A70" s="103" t="n"/>
      <c r="B70" s="200" t="n"/>
      <c r="C70" s="200" t="n"/>
      <c r="D70" s="200" t="n"/>
      <c r="E70" s="200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  <c r="P70" s="201" t="n"/>
      <c r="S70" s="22" t="n"/>
      <c r="T70" s="22" t="n"/>
      <c r="U70" s="22" t="n"/>
      <c r="V70" s="22" t="n"/>
      <c r="W70" s="22" t="n"/>
    </row>
    <row r="71">
      <c r="A71" s="104" t="inlineStr">
        <is>
          <t>Discount</t>
        </is>
      </c>
      <c r="B71" s="200" t="n"/>
      <c r="C71" s="200" t="n"/>
      <c r="D71" s="200" t="n"/>
      <c r="E71" s="200" t="n"/>
      <c r="F71" s="200" t="n"/>
      <c r="G71" s="200" t="n"/>
      <c r="H71" s="200" t="n"/>
      <c r="I71" s="200" t="n"/>
      <c r="J71" s="200" t="n"/>
      <c r="K71" s="200" t="n"/>
      <c r="L71" s="200" t="n"/>
      <c r="M71" s="200" t="n"/>
      <c r="N71" s="200" t="n"/>
      <c r="O71" s="201" t="n"/>
      <c r="P71" s="76" t="n">
        <v>0</v>
      </c>
      <c r="S71" s="22" t="n"/>
      <c r="T71" s="22" t="n"/>
      <c r="U71" s="22" t="n"/>
      <c r="V71" s="22" t="n"/>
      <c r="W71" s="22" t="n"/>
    </row>
    <row r="72">
      <c r="A72" s="189" t="n"/>
      <c r="B72" s="200" t="n"/>
      <c r="C72" s="200" t="n"/>
      <c r="D72" s="200" t="n"/>
      <c r="E72" s="200" t="n"/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  <c r="P72" s="201" t="n"/>
      <c r="S72" s="22" t="n"/>
      <c r="T72" s="22" t="n"/>
      <c r="U72" s="22" t="n"/>
      <c r="V72" s="22" t="n"/>
      <c r="W72" s="22" t="n"/>
    </row>
    <row r="73">
      <c r="A73" s="103" t="inlineStr">
        <is>
          <t>Project Total</t>
        </is>
      </c>
      <c r="B73" s="200" t="n"/>
      <c r="C73" s="200" t="n"/>
      <c r="D73" s="200" t="n"/>
      <c r="E73" s="200" t="n"/>
      <c r="F73" s="200" t="n"/>
      <c r="G73" s="200" t="n"/>
      <c r="H73" s="200" t="n"/>
      <c r="I73" s="200" t="n"/>
      <c r="J73" s="200" t="n"/>
      <c r="K73" s="200" t="n"/>
      <c r="L73" s="200" t="n"/>
      <c r="M73" s="200" t="n"/>
      <c r="N73" s="200" t="n"/>
      <c r="O73" s="201" t="n"/>
      <c r="P73" s="75">
        <f>SUM(P65,P67,P69, P71)</f>
        <v/>
      </c>
      <c r="S73" s="22" t="n"/>
      <c r="T73" s="73" t="n"/>
      <c r="U73" s="22" t="n"/>
      <c r="V73" s="22" t="n"/>
      <c r="W73" s="22" t="n"/>
    </row>
    <row r="74">
      <c r="A74" s="103" t="inlineStr">
        <is>
          <t>HST</t>
        </is>
      </c>
      <c r="B74" s="200" t="n"/>
      <c r="C74" s="200" t="n"/>
      <c r="D74" s="200" t="n"/>
      <c r="E74" s="200" t="n"/>
      <c r="F74" s="200" t="n"/>
      <c r="G74" s="200" t="n"/>
      <c r="H74" s="200" t="n"/>
      <c r="I74" s="200" t="n"/>
      <c r="J74" s="200" t="n"/>
      <c r="K74" s="200" t="n"/>
      <c r="L74" s="200" t="n"/>
      <c r="M74" s="200" t="n"/>
      <c r="N74" s="200" t="n"/>
      <c r="O74" s="201" t="n"/>
      <c r="P74" s="75">
        <f>P73*0.13</f>
        <v/>
      </c>
    </row>
    <row r="75">
      <c r="A75" s="103" t="inlineStr">
        <is>
          <t>TOTAL</t>
        </is>
      </c>
      <c r="B75" s="200" t="n"/>
      <c r="C75" s="200" t="n"/>
      <c r="D75" s="200" t="n"/>
      <c r="E75" s="200" t="n"/>
      <c r="F75" s="200" t="n"/>
      <c r="G75" s="200" t="n"/>
      <c r="H75" s="200" t="n"/>
      <c r="I75" s="200" t="n"/>
      <c r="J75" s="200" t="n"/>
      <c r="K75" s="200" t="n"/>
      <c r="L75" s="200" t="n"/>
      <c r="M75" s="200" t="n"/>
      <c r="N75" s="200" t="n"/>
      <c r="O75" s="201" t="n"/>
      <c r="P75" s="75">
        <f>P73+P74</f>
        <v/>
      </c>
    </row>
    <row r="76">
      <c r="A76" s="27" t="inlineStr">
        <is>
          <t>HST Check for final price should be the same as above</t>
        </is>
      </c>
      <c r="P76" s="29">
        <f>P73*1.13</f>
        <v/>
      </c>
    </row>
    <row r="84" ht="16.5" customHeight="1" thickBot="1"/>
    <row r="85" ht="32.25" customHeight="1" thickBot="1">
      <c r="B85" s="27" t="inlineStr">
        <is>
          <t>APS (Cost)</t>
        </is>
      </c>
      <c r="C85" s="93" t="inlineStr">
        <is>
          <t>Regular</t>
        </is>
      </c>
      <c r="D85" s="93" t="inlineStr">
        <is>
          <t>Regular W/truck</t>
        </is>
      </c>
      <c r="E85" s="199" t="n"/>
      <c r="F85" s="82" t="inlineStr">
        <is>
          <t>Double Time</t>
        </is>
      </c>
      <c r="G85" s="82" t="inlineStr">
        <is>
          <t>Double Time W/truck</t>
        </is>
      </c>
      <c r="H85" s="83" t="inlineStr">
        <is>
          <t>Shift 20%</t>
        </is>
      </c>
      <c r="I85" s="83" t="inlineStr">
        <is>
          <t>Shift 20% W/truck</t>
        </is>
      </c>
    </row>
    <row r="86">
      <c r="B86" s="77" t="inlineStr">
        <is>
          <t xml:space="preserve">FOREMAN                                          </t>
        </is>
      </c>
      <c r="C86" s="207" t="n">
        <v>98.20999999999999</v>
      </c>
      <c r="D86" s="207">
        <f>(C86+17)</f>
        <v/>
      </c>
      <c r="E86" s="206" t="n"/>
      <c r="F86" s="208" t="n">
        <v>196.41</v>
      </c>
      <c r="G86" s="208">
        <f>(F86+17)</f>
        <v/>
      </c>
      <c r="H86" s="209" t="n">
        <v>112.94</v>
      </c>
      <c r="I86" s="210">
        <f>H86+17</f>
        <v/>
      </c>
      <c r="J86" s="211" t="n"/>
      <c r="K86" s="211" t="n"/>
    </row>
    <row r="87">
      <c r="B87" s="77" t="inlineStr">
        <is>
          <t xml:space="preserve">JOURNEYMAN                                 </t>
        </is>
      </c>
      <c r="C87" s="212" t="n">
        <v>87.65000000000001</v>
      </c>
      <c r="D87" s="212">
        <f>(C87+17)</f>
        <v/>
      </c>
      <c r="E87" s="201" t="n"/>
      <c r="F87" s="213" t="n">
        <v>175.31</v>
      </c>
      <c r="G87" s="213">
        <f>(F87+17)</f>
        <v/>
      </c>
      <c r="H87" s="214" t="n">
        <v>100.8</v>
      </c>
      <c r="I87" s="215">
        <f>H87+17</f>
        <v/>
      </c>
      <c r="J87" s="211" t="n"/>
      <c r="K87" s="211" t="n"/>
    </row>
    <row r="88">
      <c r="B88" s="77" t="inlineStr">
        <is>
          <t xml:space="preserve">APPRENTICE #5                                </t>
        </is>
      </c>
      <c r="C88" s="212" t="n">
        <v>71.38</v>
      </c>
      <c r="D88" s="212">
        <f>(C88+17)</f>
        <v/>
      </c>
      <c r="E88" s="201" t="n"/>
      <c r="F88" s="213" t="n">
        <v>142.73</v>
      </c>
      <c r="G88" s="213">
        <f>(F88+17)</f>
        <v/>
      </c>
      <c r="H88" s="214" t="n">
        <v>82.09</v>
      </c>
      <c r="I88" s="215">
        <f>H88+17</f>
        <v/>
      </c>
      <c r="J88" s="211" t="n"/>
      <c r="K88" s="211" t="n"/>
    </row>
    <row r="89">
      <c r="B89" s="77" t="inlineStr">
        <is>
          <t xml:space="preserve">APPRENTICE #4                                </t>
        </is>
      </c>
      <c r="C89" s="212" t="n">
        <v>63.34</v>
      </c>
      <c r="D89" s="212">
        <f>(C89+17)</f>
        <v/>
      </c>
      <c r="E89" s="201" t="n"/>
      <c r="F89" s="213" t="n">
        <v>126.7</v>
      </c>
      <c r="G89" s="213">
        <f>(F89+17)</f>
        <v/>
      </c>
      <c r="H89" s="214" t="n">
        <v>72.84</v>
      </c>
      <c r="I89" s="215">
        <f>H89+17</f>
        <v/>
      </c>
      <c r="J89" s="211" t="n"/>
      <c r="K89" s="211" t="n"/>
    </row>
    <row r="90">
      <c r="B90" s="77" t="inlineStr">
        <is>
          <t xml:space="preserve">APPRENTICE #3                              </t>
        </is>
      </c>
      <c r="C90" s="212" t="n">
        <v>55.33</v>
      </c>
      <c r="D90" s="212">
        <f>(C90+17)</f>
        <v/>
      </c>
      <c r="E90" s="201" t="n"/>
      <c r="F90" s="213" t="n">
        <v>110.64</v>
      </c>
      <c r="G90" s="213">
        <f>(F90+17)</f>
        <v/>
      </c>
      <c r="H90" s="214" t="n">
        <v>63.63</v>
      </c>
      <c r="I90" s="215">
        <f>H90+17</f>
        <v/>
      </c>
      <c r="J90" s="211" t="n"/>
      <c r="K90" s="211" t="n"/>
    </row>
    <row r="91">
      <c r="B91" s="77" t="inlineStr">
        <is>
          <t xml:space="preserve">APPRENTICE #2                                 </t>
        </is>
      </c>
      <c r="C91" s="212" t="n">
        <v>47.3</v>
      </c>
      <c r="D91" s="212">
        <f>(C91+17)</f>
        <v/>
      </c>
      <c r="E91" s="201" t="n"/>
      <c r="F91" s="213" t="n">
        <v>94.59</v>
      </c>
      <c r="G91" s="213">
        <f>(F91+17)</f>
        <v/>
      </c>
      <c r="H91" s="214" t="n">
        <v>54.4</v>
      </c>
      <c r="I91" s="215">
        <f>H91+17</f>
        <v/>
      </c>
      <c r="J91" s="211" t="n"/>
      <c r="K91" s="211" t="n"/>
    </row>
    <row r="92">
      <c r="B92" s="77" t="inlineStr">
        <is>
          <t xml:space="preserve">APPRENTICE #1                                 </t>
        </is>
      </c>
      <c r="C92" s="212" t="n">
        <v>39.25</v>
      </c>
      <c r="D92" s="212">
        <f>(C92+17)</f>
        <v/>
      </c>
      <c r="E92" s="201" t="n"/>
      <c r="F92" s="213" t="n">
        <v>78.48999999999999</v>
      </c>
      <c r="G92" s="213">
        <f>(F92+17)</f>
        <v/>
      </c>
      <c r="H92" s="214" t="n">
        <v>45.14</v>
      </c>
      <c r="I92" s="215">
        <f>H92+17</f>
        <v/>
      </c>
      <c r="J92" s="211" t="n"/>
      <c r="K92" s="211" t="n"/>
    </row>
    <row r="93" ht="16.5" customHeight="1" thickBot="1">
      <c r="D93" s="216" t="n"/>
      <c r="E93" s="217" t="n"/>
    </row>
    <row r="94" ht="32.25" customHeight="1" thickBot="1">
      <c r="B94" s="27" t="inlineStr">
        <is>
          <t>APS (Sell)</t>
        </is>
      </c>
      <c r="C94" s="93" t="inlineStr">
        <is>
          <t>Regular</t>
        </is>
      </c>
      <c r="D94" s="93" t="inlineStr">
        <is>
          <t>Regular W/truck</t>
        </is>
      </c>
      <c r="E94" s="199" t="n"/>
      <c r="F94" s="82" t="inlineStr">
        <is>
          <t>Double Time</t>
        </is>
      </c>
      <c r="G94" s="82" t="inlineStr">
        <is>
          <t>Double Time W/truck</t>
        </is>
      </c>
      <c r="H94" s="83" t="inlineStr">
        <is>
          <t>Shift 20%</t>
        </is>
      </c>
      <c r="I94" s="83" t="inlineStr">
        <is>
          <t>Shift 20% W/truck</t>
        </is>
      </c>
      <c r="K94" s="33" t="inlineStr">
        <is>
          <t>Margin</t>
        </is>
      </c>
    </row>
    <row r="95">
      <c r="B95" s="77" t="inlineStr">
        <is>
          <t xml:space="preserve">FOREMAN                                          </t>
        </is>
      </c>
      <c r="C95" s="218">
        <f>C86/$K$95</f>
        <v/>
      </c>
      <c r="D95" s="219">
        <f>D86/$K$95</f>
        <v/>
      </c>
      <c r="E95" s="220" t="n"/>
      <c r="F95" s="218">
        <f>F86/$K$95</f>
        <v/>
      </c>
      <c r="G95" s="218">
        <f>G86/$K$95</f>
        <v/>
      </c>
      <c r="H95" s="218">
        <f>H86/$K$95</f>
        <v/>
      </c>
      <c r="I95" s="218">
        <f>I86/$K$95</f>
        <v/>
      </c>
      <c r="K95" s="5" t="n">
        <v>0.8</v>
      </c>
    </row>
    <row r="96">
      <c r="B96" s="77" t="inlineStr">
        <is>
          <t xml:space="preserve">JOURNEYMAN                                 </t>
        </is>
      </c>
      <c r="C96" s="218">
        <f>C87/$K$95</f>
        <v/>
      </c>
      <c r="D96" s="212">
        <f>D87/$K$95</f>
        <v/>
      </c>
      <c r="E96" s="201" t="n"/>
      <c r="F96" s="218">
        <f>F87/$K$95</f>
        <v/>
      </c>
      <c r="G96" s="218">
        <f>G87/$K$95</f>
        <v/>
      </c>
      <c r="H96" s="218">
        <f>H87/$K$95</f>
        <v/>
      </c>
      <c r="I96" s="218">
        <f>I87/$K$95</f>
        <v/>
      </c>
    </row>
    <row r="97">
      <c r="B97" s="77" t="inlineStr">
        <is>
          <t xml:space="preserve">APPRENTICE #5                                </t>
        </is>
      </c>
      <c r="C97" s="218">
        <f>C88/$K$95</f>
        <v/>
      </c>
      <c r="D97" s="212">
        <f>D88/$K$95</f>
        <v/>
      </c>
      <c r="E97" s="201" t="n"/>
      <c r="F97" s="218">
        <f>F88/$K$95</f>
        <v/>
      </c>
      <c r="G97" s="218">
        <f>G88/$K$95</f>
        <v/>
      </c>
      <c r="H97" s="218">
        <f>H88/$K$95</f>
        <v/>
      </c>
      <c r="I97" s="218">
        <f>I88/$K$95</f>
        <v/>
      </c>
    </row>
    <row r="98">
      <c r="B98" s="77" t="inlineStr">
        <is>
          <t xml:space="preserve">APPRENTICE #4                                </t>
        </is>
      </c>
      <c r="C98" s="218">
        <f>C89/$K$95</f>
        <v/>
      </c>
      <c r="D98" s="212">
        <f>D89/$K$95</f>
        <v/>
      </c>
      <c r="E98" s="201" t="n"/>
      <c r="F98" s="218">
        <f>F89/$K$95</f>
        <v/>
      </c>
      <c r="G98" s="218">
        <f>G89/$K$95</f>
        <v/>
      </c>
      <c r="H98" s="218">
        <f>H89/$K$95</f>
        <v/>
      </c>
      <c r="I98" s="218">
        <f>I89/$K$95</f>
        <v/>
      </c>
    </row>
    <row r="99">
      <c r="B99" s="77" t="inlineStr">
        <is>
          <t xml:space="preserve">APPRENTICE #3                              </t>
        </is>
      </c>
      <c r="C99" s="218">
        <f>C90/$K$95</f>
        <v/>
      </c>
      <c r="D99" s="212">
        <f>D90/$K$95</f>
        <v/>
      </c>
      <c r="E99" s="201" t="n"/>
      <c r="F99" s="218">
        <f>F90/$K$95</f>
        <v/>
      </c>
      <c r="G99" s="218">
        <f>G90/$K$95</f>
        <v/>
      </c>
      <c r="H99" s="218">
        <f>H90/$K$95</f>
        <v/>
      </c>
      <c r="I99" s="218">
        <f>I90/$K$95</f>
        <v/>
      </c>
    </row>
    <row r="100">
      <c r="B100" s="77" t="inlineStr">
        <is>
          <t xml:space="preserve">APPRENTICE #2                                 </t>
        </is>
      </c>
      <c r="C100" s="218">
        <f>C91/$K$95</f>
        <v/>
      </c>
      <c r="D100" s="212">
        <f>D91/$K$95</f>
        <v/>
      </c>
      <c r="E100" s="201" t="n"/>
      <c r="F100" s="218">
        <f>F91/$K$95</f>
        <v/>
      </c>
      <c r="G100" s="218">
        <f>G91/$K$95</f>
        <v/>
      </c>
      <c r="H100" s="218">
        <f>H91/$K$95</f>
        <v/>
      </c>
      <c r="I100" s="218">
        <f>I91/$K$95</f>
        <v/>
      </c>
    </row>
    <row r="101">
      <c r="B101" s="77" t="inlineStr">
        <is>
          <t xml:space="preserve">APPRENTICE #1                                 </t>
        </is>
      </c>
      <c r="C101" s="218">
        <f>C92/$K$95</f>
        <v/>
      </c>
      <c r="D101" s="212">
        <f>D92/$K$95</f>
        <v/>
      </c>
      <c r="E101" s="201" t="n"/>
      <c r="F101" s="218">
        <f>F92/$K$95</f>
        <v/>
      </c>
      <c r="G101" s="218">
        <f>G92/$K$95</f>
        <v/>
      </c>
      <c r="H101" s="218">
        <f>H92/$K$95</f>
        <v/>
      </c>
      <c r="I101" s="218">
        <f>I92/$K$95</f>
        <v/>
      </c>
    </row>
    <row r="102">
      <c r="D102" s="221" t="n"/>
    </row>
    <row r="103">
      <c r="D103" s="221" t="n"/>
    </row>
    <row r="104">
      <c r="B104" s="27" t="inlineStr">
        <is>
          <t>Bonding</t>
        </is>
      </c>
      <c r="C104" s="27" t="inlineStr">
        <is>
          <t>rate/Moths</t>
        </is>
      </c>
    </row>
    <row r="105">
      <c r="B105" s="27" t="inlineStr">
        <is>
          <t>First $2.5M</t>
        </is>
      </c>
      <c r="C105" s="27" t="n">
        <v>8.699999999999999</v>
      </c>
      <c r="G105" s="221" t="n">
        <v>2500000</v>
      </c>
      <c r="I105" s="211">
        <f>G105/1000*C105</f>
        <v/>
      </c>
    </row>
    <row r="106">
      <c r="B106" s="27" t="inlineStr">
        <is>
          <t>Second $2.5M</t>
        </is>
      </c>
      <c r="C106" s="27" t="n">
        <v>7.9</v>
      </c>
      <c r="G106" s="221" t="n">
        <v>2500000</v>
      </c>
      <c r="I106" s="211">
        <f>G106/1000*C106</f>
        <v/>
      </c>
    </row>
    <row r="107">
      <c r="B107" s="27" t="inlineStr">
        <is>
          <t>Third $2.5M</t>
        </is>
      </c>
      <c r="C107" s="27" t="n">
        <v>6.95</v>
      </c>
      <c r="G107" s="221" t="n">
        <v>2500000</v>
      </c>
      <c r="I107" s="211">
        <f>G107/1000*C107</f>
        <v/>
      </c>
    </row>
    <row r="108">
      <c r="B108" s="27" t="inlineStr">
        <is>
          <t>Subtotal</t>
        </is>
      </c>
      <c r="I108" s="211">
        <f>I105+I106+I107</f>
        <v/>
      </c>
    </row>
    <row r="109">
      <c r="B109" s="27" t="inlineStr">
        <is>
          <t>after 24 months</t>
        </is>
      </c>
      <c r="C109" s="27" t="n">
        <v>12</v>
      </c>
      <c r="I109" s="211">
        <f>I108*C109*0.01</f>
        <v/>
      </c>
    </row>
    <row r="110">
      <c r="B110" s="27" t="inlineStr">
        <is>
          <t>Grand Total for Bond</t>
        </is>
      </c>
      <c r="I110" s="211">
        <f>I108+I109</f>
        <v/>
      </c>
    </row>
    <row r="111">
      <c r="B111" s="27" t="inlineStr">
        <is>
          <t>Sell Price</t>
        </is>
      </c>
      <c r="I111" s="211">
        <f>I110/0.9</f>
        <v/>
      </c>
    </row>
    <row r="114">
      <c r="F114" s="21" t="n"/>
      <c r="G114" s="21" t="n"/>
    </row>
    <row r="115">
      <c r="F115" s="21" t="n"/>
      <c r="G115" s="77" t="n"/>
    </row>
    <row r="116">
      <c r="F116" s="21" t="n"/>
      <c r="G116" s="77" t="n"/>
    </row>
    <row r="117">
      <c r="F117" s="21" t="n"/>
      <c r="G117" s="77" t="n"/>
    </row>
    <row r="118">
      <c r="F118" s="21" t="n"/>
      <c r="G118" s="77" t="n"/>
    </row>
    <row r="119">
      <c r="F119" s="21" t="n"/>
      <c r="G119" s="77" t="n"/>
    </row>
  </sheetData>
  <mergeCells count="249">
    <mergeCell ref="A69:O69"/>
    <mergeCell ref="K49:L49"/>
    <mergeCell ref="M43:N43"/>
    <mergeCell ref="D100:E100"/>
    <mergeCell ref="M59:N59"/>
    <mergeCell ref="K33:L33"/>
    <mergeCell ref="A75:O75"/>
    <mergeCell ref="A68:P68"/>
    <mergeCell ref="K35:L35"/>
    <mergeCell ref="E51:F51"/>
    <mergeCell ref="M60:N60"/>
    <mergeCell ref="M35:N35"/>
    <mergeCell ref="D86:E86"/>
    <mergeCell ref="C54:D54"/>
    <mergeCell ref="M54:N54"/>
    <mergeCell ref="K50:L50"/>
    <mergeCell ref="C41:D41"/>
    <mergeCell ref="G57:H57"/>
    <mergeCell ref="C50:D50"/>
    <mergeCell ref="I4:N4"/>
    <mergeCell ref="C56:D56"/>
    <mergeCell ref="I58:J58"/>
    <mergeCell ref="K58:L58"/>
    <mergeCell ref="E34:F34"/>
    <mergeCell ref="C43:D43"/>
    <mergeCell ref="K52:L52"/>
    <mergeCell ref="G34:H34"/>
    <mergeCell ref="M29:N29"/>
    <mergeCell ref="A26:E26"/>
    <mergeCell ref="I42:J42"/>
    <mergeCell ref="E49:F49"/>
    <mergeCell ref="K42:L42"/>
    <mergeCell ref="G58:H58"/>
    <mergeCell ref="M33:N33"/>
    <mergeCell ref="M45:N45"/>
    <mergeCell ref="I52:J52"/>
    <mergeCell ref="A67:O67"/>
    <mergeCell ref="I44:J44"/>
    <mergeCell ref="K53:L53"/>
    <mergeCell ref="A73:O73"/>
    <mergeCell ref="M47:N47"/>
    <mergeCell ref="D98:E98"/>
    <mergeCell ref="K28:L28"/>
    <mergeCell ref="C28:D28"/>
    <mergeCell ref="E53:F53"/>
    <mergeCell ref="M50:N50"/>
    <mergeCell ref="G44:H44"/>
    <mergeCell ref="D88:E88"/>
    <mergeCell ref="I30:J30"/>
    <mergeCell ref="G59:H59"/>
    <mergeCell ref="K30:L30"/>
    <mergeCell ref="C30:D30"/>
    <mergeCell ref="E55:F55"/>
    <mergeCell ref="I46:J46"/>
    <mergeCell ref="D90:E90"/>
    <mergeCell ref="M44:N44"/>
    <mergeCell ref="D99:E99"/>
    <mergeCell ref="C45:D45"/>
    <mergeCell ref="O4:O5"/>
    <mergeCell ref="G61:H61"/>
    <mergeCell ref="I61:J61"/>
    <mergeCell ref="E48:F48"/>
    <mergeCell ref="K55:L55"/>
    <mergeCell ref="G48:H48"/>
    <mergeCell ref="I57:J57"/>
    <mergeCell ref="D101:E101"/>
    <mergeCell ref="K51:L51"/>
    <mergeCell ref="C47:D47"/>
    <mergeCell ref="M51:N51"/>
    <mergeCell ref="I54:J54"/>
    <mergeCell ref="I14:K14"/>
    <mergeCell ref="G38:H38"/>
    <mergeCell ref="I32:J32"/>
    <mergeCell ref="E38:F38"/>
    <mergeCell ref="K32:L32"/>
    <mergeCell ref="I41:J41"/>
    <mergeCell ref="K41:L41"/>
    <mergeCell ref="C40:D40"/>
    <mergeCell ref="E40:F40"/>
    <mergeCell ref="A62:O62"/>
    <mergeCell ref="I56:J56"/>
    <mergeCell ref="K56:L56"/>
    <mergeCell ref="G49:H49"/>
    <mergeCell ref="I43:J43"/>
    <mergeCell ref="K43:L43"/>
    <mergeCell ref="C60:D60"/>
    <mergeCell ref="G33:H33"/>
    <mergeCell ref="D103:E103"/>
    <mergeCell ref="I33:J33"/>
    <mergeCell ref="M41:N41"/>
    <mergeCell ref="A14:E14"/>
    <mergeCell ref="G25:G26"/>
    <mergeCell ref="G35:H35"/>
    <mergeCell ref="I35:J35"/>
    <mergeCell ref="A37:P37"/>
    <mergeCell ref="C57:D57"/>
    <mergeCell ref="D89:E89"/>
    <mergeCell ref="I59:J59"/>
    <mergeCell ref="C4:H4"/>
    <mergeCell ref="G60:H60"/>
    <mergeCell ref="C53:D53"/>
    <mergeCell ref="M53:N53"/>
    <mergeCell ref="E58:F58"/>
    <mergeCell ref="I60:J60"/>
    <mergeCell ref="E50:F50"/>
    <mergeCell ref="C34:D34"/>
    <mergeCell ref="M34:N34"/>
    <mergeCell ref="M55:N55"/>
    <mergeCell ref="G42:H42"/>
    <mergeCell ref="A1:P2"/>
    <mergeCell ref="C58:D58"/>
    <mergeCell ref="M52:N52"/>
    <mergeCell ref="I45:J45"/>
    <mergeCell ref="E52:F52"/>
    <mergeCell ref="M49:N49"/>
    <mergeCell ref="K45:L45"/>
    <mergeCell ref="A74:O74"/>
    <mergeCell ref="M39:N39"/>
    <mergeCell ref="K54:L54"/>
    <mergeCell ref="D96:E96"/>
    <mergeCell ref="M48:N48"/>
    <mergeCell ref="E39:F39"/>
    <mergeCell ref="E44:F44"/>
    <mergeCell ref="G39:H39"/>
    <mergeCell ref="K60:L60"/>
    <mergeCell ref="K29:L29"/>
    <mergeCell ref="C29:D29"/>
    <mergeCell ref="I47:J47"/>
    <mergeCell ref="E29:F29"/>
    <mergeCell ref="K47:L47"/>
    <mergeCell ref="A25:E25"/>
    <mergeCell ref="M25:M26"/>
    <mergeCell ref="O25:O26"/>
    <mergeCell ref="K44:L44"/>
    <mergeCell ref="C44:D44"/>
    <mergeCell ref="K31:L31"/>
    <mergeCell ref="K46:L46"/>
    <mergeCell ref="C31:D31"/>
    <mergeCell ref="K40:L40"/>
    <mergeCell ref="M31:N31"/>
    <mergeCell ref="E31:F31"/>
    <mergeCell ref="M40:N40"/>
    <mergeCell ref="D91:E91"/>
    <mergeCell ref="C59:D59"/>
    <mergeCell ref="E59:F59"/>
    <mergeCell ref="C46:D46"/>
    <mergeCell ref="E46:F46"/>
    <mergeCell ref="A4:A5"/>
    <mergeCell ref="C51:D51"/>
    <mergeCell ref="A6:P6"/>
    <mergeCell ref="D93:E93"/>
    <mergeCell ref="C61:D61"/>
    <mergeCell ref="E61:F61"/>
    <mergeCell ref="D102:E102"/>
    <mergeCell ref="A16:P16"/>
    <mergeCell ref="C48:D48"/>
    <mergeCell ref="E57:F57"/>
    <mergeCell ref="G51:H51"/>
    <mergeCell ref="D92:E92"/>
    <mergeCell ref="I51:J51"/>
    <mergeCell ref="B4:B5"/>
    <mergeCell ref="E54:F54"/>
    <mergeCell ref="A66:P66"/>
    <mergeCell ref="C38:D38"/>
    <mergeCell ref="G54:H54"/>
    <mergeCell ref="C32:D32"/>
    <mergeCell ref="E32:F32"/>
    <mergeCell ref="E41:F41"/>
    <mergeCell ref="A36:O36"/>
    <mergeCell ref="M38:N38"/>
    <mergeCell ref="G41:H41"/>
    <mergeCell ref="G32:H32"/>
    <mergeCell ref="K57:L57"/>
    <mergeCell ref="G50:H50"/>
    <mergeCell ref="G106:H106"/>
    <mergeCell ref="D85:E85"/>
    <mergeCell ref="I50:J50"/>
    <mergeCell ref="A3:P3"/>
    <mergeCell ref="D94:E94"/>
    <mergeCell ref="P4:P5"/>
    <mergeCell ref="E56:F56"/>
    <mergeCell ref="G56:H56"/>
    <mergeCell ref="M58:N58"/>
    <mergeCell ref="C49:D49"/>
    <mergeCell ref="E43:F43"/>
    <mergeCell ref="G105:H105"/>
    <mergeCell ref="I34:J34"/>
    <mergeCell ref="A65:O65"/>
    <mergeCell ref="G43:H43"/>
    <mergeCell ref="K34:L34"/>
    <mergeCell ref="G52:H52"/>
    <mergeCell ref="C33:D33"/>
    <mergeCell ref="E33:F33"/>
    <mergeCell ref="C42:D42"/>
    <mergeCell ref="I49:J49"/>
    <mergeCell ref="E42:F42"/>
    <mergeCell ref="G107:H107"/>
    <mergeCell ref="A72:P72"/>
    <mergeCell ref="C35:D35"/>
    <mergeCell ref="E35:F35"/>
    <mergeCell ref="D95:E95"/>
    <mergeCell ref="A71:O71"/>
    <mergeCell ref="C55:D55"/>
    <mergeCell ref="E28:F28"/>
    <mergeCell ref="G53:H53"/>
    <mergeCell ref="G28:H28"/>
    <mergeCell ref="I53:J53"/>
    <mergeCell ref="I28:J28"/>
    <mergeCell ref="D97:E97"/>
    <mergeCell ref="E60:F60"/>
    <mergeCell ref="A15:P15"/>
    <mergeCell ref="M30:N30"/>
    <mergeCell ref="K59:L59"/>
    <mergeCell ref="D87:E87"/>
    <mergeCell ref="E30:F30"/>
    <mergeCell ref="G30:H30"/>
    <mergeCell ref="I55:J55"/>
    <mergeCell ref="A70:P70"/>
    <mergeCell ref="M46:N46"/>
    <mergeCell ref="M28:N28"/>
    <mergeCell ref="E45:F45"/>
    <mergeCell ref="M42:N42"/>
    <mergeCell ref="I25:K26"/>
    <mergeCell ref="G45:H45"/>
    <mergeCell ref="C52:D52"/>
    <mergeCell ref="K61:L61"/>
    <mergeCell ref="I39:J39"/>
    <mergeCell ref="K39:L39"/>
    <mergeCell ref="M61:N61"/>
    <mergeCell ref="I48:J48"/>
    <mergeCell ref="C39:D39"/>
    <mergeCell ref="K48:L48"/>
    <mergeCell ref="G55:H55"/>
    <mergeCell ref="G29:H29"/>
    <mergeCell ref="A63:P64"/>
    <mergeCell ref="M57:N57"/>
    <mergeCell ref="I29:J29"/>
    <mergeCell ref="I38:J38"/>
    <mergeCell ref="G47:H47"/>
    <mergeCell ref="K38:L38"/>
    <mergeCell ref="M32:N32"/>
    <mergeCell ref="A27:P27"/>
    <mergeCell ref="G31:H31"/>
    <mergeCell ref="G46:H46"/>
    <mergeCell ref="I31:J31"/>
    <mergeCell ref="G40:H40"/>
    <mergeCell ref="I40:J40"/>
    <mergeCell ref="E47:F47"/>
    <mergeCell ref="M56:N56"/>
  </mergeCells>
  <dataValidations count="1">
    <dataValidation sqref="K95 O7:O13 O17:O24 O29:O35 O39:O61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portrait" paperSize="17" scale="72" fitToHeight="0" horizontalDpi="300" verticalDpi="300"/>
  <colBreaks count="1" manualBreakCount="1">
    <brk id="16" min="0" max="83" man="1"/>
  </col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9"/>
  <sheetViews>
    <sheetView zoomScale="80" zoomScaleNormal="80" workbookViewId="0">
      <selection activeCell="A37" sqref="A37:P37"/>
    </sheetView>
  </sheetViews>
  <sheetFormatPr baseColWidth="8" defaultColWidth="9.140625" defaultRowHeight="15.75"/>
  <cols>
    <col width="9.140625" customWidth="1" style="27" min="1" max="1"/>
    <col width="44.85546875" customWidth="1" style="27" min="2" max="2"/>
    <col width="14.140625" customWidth="1" style="27" min="3" max="3"/>
    <col width="7.28515625" customWidth="1" style="27" min="4" max="4"/>
    <col width="9.42578125" customWidth="1" style="27" min="5" max="5"/>
    <col width="15.7109375" customWidth="1" style="27" min="6" max="6"/>
    <col width="19.140625" customWidth="1" style="27" min="7" max="7"/>
    <col width="15.28515625" customWidth="1" style="27" min="8" max="14"/>
    <col width="14.85546875" customWidth="1" style="27" min="15" max="15"/>
    <col width="22" customWidth="1" style="27" min="16" max="16"/>
    <col width="9.140625" customWidth="1" style="27" min="17" max="17"/>
    <col width="12.42578125" bestFit="1" customWidth="1" style="27" min="18" max="18"/>
    <col width="11.42578125" customWidth="1" style="27" min="19" max="19"/>
    <col width="15.5703125" bestFit="1" customWidth="1" style="27" min="20" max="20"/>
    <col width="12.85546875" customWidth="1" style="27" min="21" max="21"/>
    <col width="13.85546875" customWidth="1" style="27" min="22" max="22"/>
    <col width="11.85546875" customWidth="1" style="27" min="23" max="23"/>
    <col width="9.140625" customWidth="1" style="27" min="24" max="16384"/>
  </cols>
  <sheetData>
    <row r="1" ht="23.25" customHeight="1">
      <c r="A1" s="192">
        <f t="array" ref="A1">MID(CELL("filename",C1),FIND("]",CELL("filename",C1))+1,255)</f>
        <v/>
      </c>
      <c r="B1" s="193" t="n"/>
      <c r="C1" s="193" t="n"/>
      <c r="D1" s="193" t="n"/>
      <c r="E1" s="193" t="n"/>
      <c r="F1" s="193" t="n"/>
      <c r="G1" s="193" t="n"/>
      <c r="H1" s="193" t="n"/>
      <c r="I1" s="193" t="n"/>
      <c r="J1" s="193" t="n"/>
      <c r="K1" s="193" t="n"/>
      <c r="L1" s="193" t="n"/>
      <c r="M1" s="193" t="n"/>
      <c r="N1" s="193" t="n"/>
      <c r="O1" s="193" t="n"/>
      <c r="P1" s="194" t="n"/>
      <c r="R1" s="27">
        <f t="array" ref="R1">MID(CELL("filename",C1),FIND("]",CELL("filename",C1))+1,255)</f>
        <v/>
      </c>
    </row>
    <row r="2" ht="19.5" customHeight="1" thickBot="1">
      <c r="A2" s="195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7" t="n"/>
    </row>
    <row r="3" ht="19.5" customHeight="1" thickBot="1">
      <c r="A3" s="150" t="inlineStr">
        <is>
          <t>AINSWORTH LABOUR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9" t="n"/>
    </row>
    <row r="4" ht="19.5" customHeight="1" thickBot="1">
      <c r="A4" s="35" t="inlineStr">
        <is>
          <t>Item</t>
        </is>
      </c>
      <c r="B4" s="35" t="inlineStr">
        <is>
          <t>Task</t>
        </is>
      </c>
      <c r="C4" s="35" t="inlineStr">
        <is>
          <t>Regular Labour Rates</t>
        </is>
      </c>
      <c r="D4" s="198" t="n"/>
      <c r="E4" s="198" t="n"/>
      <c r="F4" s="198" t="n"/>
      <c r="G4" s="198" t="n"/>
      <c r="H4" s="199" t="n"/>
      <c r="I4" s="37" t="inlineStr">
        <is>
          <t>Premium Labour Rates</t>
        </is>
      </c>
      <c r="J4" s="198" t="n"/>
      <c r="K4" s="198" t="n"/>
      <c r="L4" s="198" t="n"/>
      <c r="M4" s="198" t="n"/>
      <c r="N4" s="199" t="n"/>
      <c r="O4" s="35" t="inlineStr">
        <is>
          <t>Margin</t>
        </is>
      </c>
      <c r="P4" s="222" t="inlineStr">
        <is>
          <t>Subtotal 3 - Sell Rate</t>
        </is>
      </c>
    </row>
    <row r="5" ht="57" customHeight="1" thickBot="1">
      <c r="A5" s="223" t="n"/>
      <c r="B5" s="223" t="n"/>
      <c r="C5" s="35" t="inlineStr">
        <is>
          <t># of techs</t>
        </is>
      </c>
      <c r="D5" s="35" t="inlineStr">
        <is>
          <t>Days/Units</t>
        </is>
      </c>
      <c r="E5" s="35" t="inlineStr">
        <is>
          <t>Regular Hours</t>
        </is>
      </c>
      <c r="F5" s="35" t="inlineStr">
        <is>
          <t>Total Regular Hours</t>
        </is>
      </c>
      <c r="G5" s="36" t="inlineStr">
        <is>
          <t>Regular Labour Rate</t>
        </is>
      </c>
      <c r="H5" s="36" t="inlineStr">
        <is>
          <t>Subtotal 1</t>
        </is>
      </c>
      <c r="I5" s="37" t="inlineStr">
        <is>
          <t># of techs</t>
        </is>
      </c>
      <c r="J5" s="37" t="inlineStr">
        <is>
          <t>Days/Units</t>
        </is>
      </c>
      <c r="K5" s="37" t="inlineStr">
        <is>
          <t>O/T Hours</t>
        </is>
      </c>
      <c r="L5" s="37" t="inlineStr">
        <is>
          <t>Total O/T Hours</t>
        </is>
      </c>
      <c r="M5" s="38" t="inlineStr">
        <is>
          <t>O/T Labour Rate</t>
        </is>
      </c>
      <c r="N5" s="37" t="inlineStr">
        <is>
          <t>Subtotal 2</t>
        </is>
      </c>
      <c r="O5" s="223" t="n"/>
      <c r="P5" s="223" t="n"/>
    </row>
    <row r="6" ht="34.5" customHeight="1" thickBot="1">
      <c r="A6" s="150" t="inlineStr">
        <is>
          <t>Project Management</t>
        </is>
      </c>
      <c r="B6" s="198" t="n"/>
      <c r="C6" s="198" t="n"/>
      <c r="D6" s="198" t="n"/>
      <c r="E6" s="198" t="n"/>
      <c r="F6" s="198" t="n"/>
      <c r="G6" s="198" t="n"/>
      <c r="H6" s="198" t="n"/>
      <c r="I6" s="198" t="n"/>
      <c r="J6" s="198" t="n"/>
      <c r="K6" s="198" t="n"/>
      <c r="L6" s="198" t="n"/>
      <c r="M6" s="198" t="n"/>
      <c r="N6" s="198" t="n"/>
      <c r="O6" s="198" t="n"/>
      <c r="P6" s="199" t="n"/>
      <c r="T6" s="211">
        <f>(P25+P36+P62)*0.05</f>
        <v/>
      </c>
    </row>
    <row r="7" ht="16.5" customHeight="1" thickTop="1">
      <c r="A7" s="156" t="n">
        <v>1</v>
      </c>
      <c r="B7" s="24" t="inlineStr">
        <is>
          <t>Engineering/Meetings</t>
        </is>
      </c>
      <c r="C7" s="13" t="n">
        <v>0</v>
      </c>
      <c r="D7" s="13" t="n">
        <v>0</v>
      </c>
      <c r="E7" s="13" t="n"/>
      <c r="F7" s="13">
        <f>C7*D7*E7</f>
        <v/>
      </c>
      <c r="G7" s="39" t="n">
        <v>90</v>
      </c>
      <c r="H7" s="40">
        <f>F7*G7</f>
        <v/>
      </c>
      <c r="I7" s="41" t="n"/>
      <c r="J7" s="42" t="n"/>
      <c r="K7" s="42" t="n"/>
      <c r="L7" s="42">
        <f>I7*J7*K7</f>
        <v/>
      </c>
      <c r="M7" s="43" t="n">
        <v>150</v>
      </c>
      <c r="N7" s="44">
        <f>L7*M7</f>
        <v/>
      </c>
      <c r="O7" s="5" t="n">
        <v>0.85</v>
      </c>
      <c r="P7" s="45">
        <f>H7/O7+N7/O7</f>
        <v/>
      </c>
      <c r="R7" s="29" t="n"/>
    </row>
    <row r="8">
      <c r="A8" s="156" t="n">
        <v>2</v>
      </c>
      <c r="B8" s="4" t="inlineStr">
        <is>
          <t>Project Management</t>
        </is>
      </c>
      <c r="C8" s="13" t="n">
        <v>0.05</v>
      </c>
      <c r="D8" s="13" t="n">
        <v>1</v>
      </c>
      <c r="E8" s="13" t="n">
        <v>1</v>
      </c>
      <c r="F8" s="13">
        <f>C8*D8*E8</f>
        <v/>
      </c>
      <c r="G8" s="39">
        <f>(P25+P36+P62)</f>
        <v/>
      </c>
      <c r="H8" s="46">
        <f>F8*G8</f>
        <v/>
      </c>
      <c r="I8" s="47" t="n"/>
      <c r="J8" s="48" t="n"/>
      <c r="K8" s="48" t="n"/>
      <c r="L8" s="48">
        <f>I8*J8*K8</f>
        <v/>
      </c>
      <c r="M8" s="39" t="n">
        <v>150</v>
      </c>
      <c r="N8" s="46">
        <f>L8*M8</f>
        <v/>
      </c>
      <c r="O8" s="5" t="n">
        <v>0.85</v>
      </c>
      <c r="P8" s="49">
        <f>H8/O8+N8/O8</f>
        <v/>
      </c>
    </row>
    <row r="9">
      <c r="A9" s="156" t="n">
        <v>3</v>
      </c>
      <c r="B9" s="4" t="inlineStr">
        <is>
          <t>ESA Submissions</t>
        </is>
      </c>
      <c r="C9" s="13" t="n"/>
      <c r="D9" s="13" t="n"/>
      <c r="E9" s="13" t="n"/>
      <c r="F9" s="13">
        <f>C9*D9*E9</f>
        <v/>
      </c>
      <c r="G9" s="39" t="n">
        <v>2000</v>
      </c>
      <c r="H9" s="46">
        <f>F9*G9</f>
        <v/>
      </c>
      <c r="I9" s="47" t="n"/>
      <c r="J9" s="48" t="n"/>
      <c r="K9" s="48" t="n"/>
      <c r="L9" s="48">
        <f>I9*J9*K9</f>
        <v/>
      </c>
      <c r="M9" s="39" t="n">
        <v>0</v>
      </c>
      <c r="N9" s="46">
        <f>L9*M9</f>
        <v/>
      </c>
      <c r="O9" s="5" t="n">
        <v>0.85</v>
      </c>
      <c r="P9" s="50">
        <f>H9/O9+N9/O9</f>
        <v/>
      </c>
    </row>
    <row r="10">
      <c r="A10" s="156" t="n">
        <v>4</v>
      </c>
      <c r="B10" s="4" t="inlineStr">
        <is>
          <t>Misc. Subcontractors</t>
        </is>
      </c>
      <c r="C10" s="13" t="n">
        <v>0.05</v>
      </c>
      <c r="D10" s="13" t="n">
        <v>1</v>
      </c>
      <c r="E10" s="13" t="n">
        <v>1</v>
      </c>
      <c r="F10" s="13">
        <f>C10*D10*E10</f>
        <v/>
      </c>
      <c r="G10" s="39">
        <f>P36</f>
        <v/>
      </c>
      <c r="H10" s="46">
        <f>F10*G10</f>
        <v/>
      </c>
      <c r="I10" s="47" t="n"/>
      <c r="J10" s="48" t="n"/>
      <c r="K10" s="48" t="n"/>
      <c r="L10" s="48">
        <f>I10*J10*K10</f>
        <v/>
      </c>
      <c r="M10" s="39" t="n">
        <v>150</v>
      </c>
      <c r="N10" s="46">
        <f>L10*M10</f>
        <v/>
      </c>
      <c r="O10" s="5" t="n">
        <v>0.85</v>
      </c>
      <c r="P10" s="50">
        <f>H10/O10+N10/O10</f>
        <v/>
      </c>
    </row>
    <row r="11">
      <c r="A11" s="156" t="n">
        <v>5</v>
      </c>
      <c r="B11" s="4" t="inlineStr">
        <is>
          <t>Misc. Materials</t>
        </is>
      </c>
      <c r="C11" s="13" t="n">
        <v>0.05</v>
      </c>
      <c r="D11" s="13" t="n">
        <v>1</v>
      </c>
      <c r="E11" s="13" t="n">
        <v>1</v>
      </c>
      <c r="F11" s="13">
        <f>C11*D11*E11</f>
        <v/>
      </c>
      <c r="G11" s="39">
        <f>P62</f>
        <v/>
      </c>
      <c r="H11" s="46">
        <f>F11*G11</f>
        <v/>
      </c>
      <c r="I11" s="47" t="n"/>
      <c r="J11" s="48" t="n"/>
      <c r="K11" s="48" t="n"/>
      <c r="L11" s="48">
        <f>I11*J11*K11</f>
        <v/>
      </c>
      <c r="M11" s="39" t="n">
        <v>150</v>
      </c>
      <c r="N11" s="46">
        <f>L11*M11</f>
        <v/>
      </c>
      <c r="O11" s="5" t="n">
        <v>0.85</v>
      </c>
      <c r="P11" s="50">
        <f>H11/O11+N11/O11</f>
        <v/>
      </c>
    </row>
    <row r="12">
      <c r="A12" s="156" t="n">
        <v>6</v>
      </c>
      <c r="B12" s="4" t="inlineStr">
        <is>
          <t>Forman - site supervision and civil</t>
        </is>
      </c>
      <c r="C12" s="13" t="n"/>
      <c r="D12" s="13" t="n"/>
      <c r="E12" s="13" t="n"/>
      <c r="F12" s="13">
        <f>C12*D12*E12</f>
        <v/>
      </c>
      <c r="G12" s="39" t="n">
        <v>92</v>
      </c>
      <c r="H12" s="46">
        <f>F12*G12</f>
        <v/>
      </c>
      <c r="I12" s="47" t="n"/>
      <c r="J12" s="48" t="n"/>
      <c r="K12" s="48" t="n"/>
      <c r="L12" s="48">
        <f>I12*J12*K12</f>
        <v/>
      </c>
      <c r="M12" s="39" t="n">
        <v>150</v>
      </c>
      <c r="N12" s="46">
        <f>L12*M12</f>
        <v/>
      </c>
      <c r="O12" s="5" t="n">
        <v>0.85</v>
      </c>
      <c r="P12" s="50">
        <f>H12/O12+N12/O12</f>
        <v/>
      </c>
    </row>
    <row r="13">
      <c r="A13" s="156" t="n">
        <v>7</v>
      </c>
      <c r="B13" s="4" t="inlineStr">
        <is>
          <t>Lodging</t>
        </is>
      </c>
      <c r="C13" s="13" t="n">
        <v>1</v>
      </c>
      <c r="D13" s="13" t="n">
        <v>1</v>
      </c>
      <c r="E13" s="13" t="n">
        <v>1</v>
      </c>
      <c r="F13" s="13">
        <f>C13*D13*E13</f>
        <v/>
      </c>
      <c r="G13" s="39" t="n">
        <v>0</v>
      </c>
      <c r="H13" s="46">
        <f>F13*G13</f>
        <v/>
      </c>
      <c r="I13" s="47" t="n"/>
      <c r="J13" s="48" t="n"/>
      <c r="K13" s="48" t="n"/>
      <c r="L13" s="48">
        <f>I13*J13*K13</f>
        <v/>
      </c>
      <c r="M13" s="39" t="n">
        <v>175</v>
      </c>
      <c r="N13" s="46">
        <f>L13*M13</f>
        <v/>
      </c>
      <c r="O13" s="5" t="n">
        <v>0.85</v>
      </c>
      <c r="P13" s="50">
        <f>H13/O13+N13/O13</f>
        <v/>
      </c>
    </row>
    <row r="14" ht="15.75" customFormat="1" customHeight="1" s="21" thickBot="1">
      <c r="A14" s="151" t="inlineStr">
        <is>
          <t>Total Management</t>
        </is>
      </c>
      <c r="B14" s="200" t="n"/>
      <c r="C14" s="200" t="n"/>
      <c r="D14" s="200" t="n"/>
      <c r="E14" s="201" t="n"/>
      <c r="F14" s="8">
        <f>SUM(F7:F13)</f>
        <v/>
      </c>
      <c r="G14" s="8" t="n"/>
      <c r="H14" s="51">
        <f>SUM(H7:H13)</f>
        <v/>
      </c>
      <c r="I14" s="224" t="n"/>
      <c r="J14" s="225" t="n"/>
      <c r="K14" s="226" t="n"/>
      <c r="L14" s="52">
        <f>SUM(L7:L13)</f>
        <v/>
      </c>
      <c r="M14" s="53" t="n"/>
      <c r="N14" s="54">
        <f>SUM(N7:N13)</f>
        <v/>
      </c>
      <c r="O14" s="55" t="n"/>
      <c r="P14" s="56">
        <f>SUM(P7:P13)</f>
        <v/>
      </c>
    </row>
    <row r="15" ht="16.5" customHeight="1" thickTop="1">
      <c r="A15" s="155" t="n"/>
      <c r="B15" s="200" t="n"/>
      <c r="C15" s="200" t="n"/>
      <c r="D15" s="200" t="n"/>
      <c r="E15" s="200" t="n"/>
      <c r="F15" s="200" t="n"/>
      <c r="G15" s="200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1" t="n"/>
    </row>
    <row r="16" ht="16.5" customHeight="1" thickBot="1">
      <c r="A16" s="151" t="inlineStr">
        <is>
          <t>Labour</t>
        </is>
      </c>
      <c r="B16" s="200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0" t="n"/>
      <c r="M16" s="200" t="n"/>
      <c r="N16" s="200" t="n"/>
      <c r="O16" s="200" t="n"/>
      <c r="P16" s="201" t="n"/>
    </row>
    <row r="17" ht="16.5" customHeight="1" thickTop="1">
      <c r="A17" s="155" t="n">
        <v>1</v>
      </c>
      <c r="B17" s="31" t="inlineStr">
        <is>
          <t>Mob/demob</t>
        </is>
      </c>
      <c r="C17" s="5" t="n"/>
      <c r="D17" s="5" t="n"/>
      <c r="E17" s="5" t="n"/>
      <c r="F17" s="5">
        <f>C17*D17*E17</f>
        <v/>
      </c>
      <c r="G17" s="57" t="n">
        <v>108</v>
      </c>
      <c r="H17" s="58">
        <f>F17*G17</f>
        <v/>
      </c>
      <c r="I17" s="41" t="n"/>
      <c r="J17" s="42" t="n"/>
      <c r="K17" s="42" t="n"/>
      <c r="L17" s="42">
        <f>I17*J17*K17</f>
        <v/>
      </c>
      <c r="M17" s="43" t="n">
        <v>195</v>
      </c>
      <c r="N17" s="44">
        <f>L17*M17</f>
        <v/>
      </c>
      <c r="O17" s="5" t="n">
        <v>0.85</v>
      </c>
      <c r="P17" s="45">
        <f>H17/O17+N17/O17</f>
        <v/>
      </c>
    </row>
    <row r="18">
      <c r="A18" s="155" t="n">
        <v>2</v>
      </c>
      <c r="B18" s="31" t="inlineStr">
        <is>
          <t>install</t>
        </is>
      </c>
      <c r="C18" s="5" t="n"/>
      <c r="D18" s="5" t="n"/>
      <c r="E18" s="5" t="n"/>
      <c r="F18" s="5">
        <f>C18*D18*E18</f>
        <v/>
      </c>
      <c r="G18" s="57" t="n">
        <v>108</v>
      </c>
      <c r="H18" s="58">
        <f>F18*G18</f>
        <v/>
      </c>
      <c r="I18" s="59" t="n"/>
      <c r="J18" s="60" t="n"/>
      <c r="K18" s="60" t="n"/>
      <c r="L18" s="60">
        <f>I18*J18*K18</f>
        <v/>
      </c>
      <c r="M18" s="57" t="n">
        <v>195</v>
      </c>
      <c r="N18" s="61">
        <f>L18*M18</f>
        <v/>
      </c>
      <c r="O18" s="5" t="n">
        <v>0.85</v>
      </c>
      <c r="P18" s="49">
        <f>H18/O18+N18/O18</f>
        <v/>
      </c>
      <c r="U18" s="62" t="n"/>
    </row>
    <row r="19">
      <c r="A19" s="155" t="n">
        <v>3</v>
      </c>
      <c r="B19" s="18" t="inlineStr">
        <is>
          <t>assist</t>
        </is>
      </c>
      <c r="C19" s="5" t="n"/>
      <c r="D19" s="5" t="n"/>
      <c r="E19" s="5" t="n"/>
      <c r="F19" s="5">
        <f>C19*D19*E19</f>
        <v/>
      </c>
      <c r="G19" s="57" t="n">
        <v>108</v>
      </c>
      <c r="H19" s="58">
        <f>F19*G19</f>
        <v/>
      </c>
      <c r="I19" s="59" t="n"/>
      <c r="J19" s="60" t="n"/>
      <c r="K19" s="60" t="n"/>
      <c r="L19" s="60">
        <f>I19*J19*K19</f>
        <v/>
      </c>
      <c r="M19" s="57" t="n">
        <v>195</v>
      </c>
      <c r="N19" s="61">
        <f>L19*M19</f>
        <v/>
      </c>
      <c r="O19" s="5" t="n">
        <v>0.85</v>
      </c>
      <c r="P19" s="49">
        <f>H19/O19+N19/O19</f>
        <v/>
      </c>
      <c r="R19" s="211" t="n"/>
      <c r="U19" s="62" t="n"/>
    </row>
    <row r="20">
      <c r="A20" s="155" t="n">
        <v>4</v>
      </c>
      <c r="B20" s="18" t="n"/>
      <c r="C20" s="5" t="n"/>
      <c r="D20" s="5" t="n"/>
      <c r="E20" s="5" t="n"/>
      <c r="F20" s="5">
        <f>C20*D20*E20</f>
        <v/>
      </c>
      <c r="G20" s="57" t="n">
        <v>108</v>
      </c>
      <c r="H20" s="58">
        <f>F20*G20</f>
        <v/>
      </c>
      <c r="I20" s="59" t="n"/>
      <c r="J20" s="60" t="n"/>
      <c r="K20" s="60" t="n"/>
      <c r="L20" s="60">
        <f>I20*J20*K20</f>
        <v/>
      </c>
      <c r="M20" s="57" t="n">
        <v>195</v>
      </c>
      <c r="N20" s="61">
        <f>L20*M20</f>
        <v/>
      </c>
      <c r="O20" s="5" t="n">
        <v>0.85</v>
      </c>
      <c r="P20" s="49">
        <f>H20/O20+N20/O20</f>
        <v/>
      </c>
      <c r="U20" s="62" t="n"/>
    </row>
    <row r="21">
      <c r="A21" s="155" t="n">
        <v>5</v>
      </c>
      <c r="B21" s="18" t="n"/>
      <c r="C21" s="5" t="n"/>
      <c r="D21" s="5" t="n"/>
      <c r="E21" s="5" t="n"/>
      <c r="F21" s="5">
        <f>C21*D21*E21</f>
        <v/>
      </c>
      <c r="G21" s="57" t="n">
        <v>108</v>
      </c>
      <c r="H21" s="58">
        <f>F21*G21</f>
        <v/>
      </c>
      <c r="I21" s="59" t="n"/>
      <c r="J21" s="60" t="n"/>
      <c r="K21" s="60" t="n"/>
      <c r="L21" s="60">
        <f>I21*J21*K21</f>
        <v/>
      </c>
      <c r="M21" s="57" t="n">
        <v>195</v>
      </c>
      <c r="N21" s="61">
        <f>L21*M21</f>
        <v/>
      </c>
      <c r="O21" s="5" t="n">
        <v>0.85</v>
      </c>
      <c r="P21" s="49">
        <f>H21/O21+N21/O21</f>
        <v/>
      </c>
    </row>
    <row r="22">
      <c r="A22" s="155" t="n">
        <v>6</v>
      </c>
      <c r="B22" s="18" t="n"/>
      <c r="C22" s="5" t="n"/>
      <c r="D22" s="5" t="n"/>
      <c r="E22" s="5" t="n"/>
      <c r="F22" s="5">
        <f>C22*D22*E22</f>
        <v/>
      </c>
      <c r="G22" s="57" t="n">
        <v>108</v>
      </c>
      <c r="H22" s="58">
        <f>F22*G22</f>
        <v/>
      </c>
      <c r="I22" s="59" t="n"/>
      <c r="J22" s="60" t="n"/>
      <c r="K22" s="60" t="n"/>
      <c r="L22" s="60">
        <f>I22*J22*K22</f>
        <v/>
      </c>
      <c r="M22" s="57" t="n">
        <v>195</v>
      </c>
      <c r="N22" s="61">
        <f>L22*M22</f>
        <v/>
      </c>
      <c r="O22" s="5" t="n">
        <v>0.85</v>
      </c>
      <c r="P22" s="49">
        <f>H22/O22+N22/O22</f>
        <v/>
      </c>
    </row>
    <row r="23">
      <c r="A23" s="155" t="n">
        <v>7</v>
      </c>
      <c r="B23" s="18" t="n"/>
      <c r="C23" s="5" t="n"/>
      <c r="D23" s="5" t="n"/>
      <c r="E23" s="5" t="n"/>
      <c r="F23" s="5">
        <f>C23*D23*E23</f>
        <v/>
      </c>
      <c r="G23" s="57" t="n">
        <v>108</v>
      </c>
      <c r="H23" s="58">
        <f>F23*G23</f>
        <v/>
      </c>
      <c r="I23" s="59" t="n"/>
      <c r="J23" s="60" t="n"/>
      <c r="K23" s="60" t="n"/>
      <c r="L23" s="60">
        <f>I23*J23*K23</f>
        <v/>
      </c>
      <c r="M23" s="57" t="n">
        <v>195</v>
      </c>
      <c r="N23" s="61">
        <f>L23*M23</f>
        <v/>
      </c>
      <c r="O23" s="5" t="n">
        <v>0.85</v>
      </c>
      <c r="P23" s="49">
        <f>H23/O23+N23/O23</f>
        <v/>
      </c>
    </row>
    <row r="24">
      <c r="A24" s="155" t="n">
        <v>8</v>
      </c>
      <c r="B24" s="18" t="n"/>
      <c r="C24" s="5" t="n"/>
      <c r="D24" s="5" t="n"/>
      <c r="E24" s="5" t="n"/>
      <c r="F24" s="5">
        <f>C24*D24*E24</f>
        <v/>
      </c>
      <c r="G24" s="57" t="n">
        <v>108</v>
      </c>
      <c r="H24" s="58">
        <f>F24*G24</f>
        <v/>
      </c>
      <c r="I24" s="59" t="n"/>
      <c r="J24" s="60" t="n"/>
      <c r="K24" s="60" t="n"/>
      <c r="L24" s="60">
        <f>I24*J24*K24</f>
        <v/>
      </c>
      <c r="M24" s="57" t="n">
        <v>195</v>
      </c>
      <c r="N24" s="61">
        <f>L24*M24</f>
        <v/>
      </c>
      <c r="O24" s="5" t="n">
        <v>0.85</v>
      </c>
      <c r="P24" s="49">
        <f>H24/O24+N24/O24</f>
        <v/>
      </c>
    </row>
    <row r="25" ht="15.75" customHeight="1">
      <c r="A25" s="151" t="inlineStr">
        <is>
          <t>Sub Total Labour</t>
        </is>
      </c>
      <c r="B25" s="200" t="n"/>
      <c r="C25" s="200" t="n"/>
      <c r="D25" s="200" t="n"/>
      <c r="E25" s="201" t="n"/>
      <c r="F25" s="8">
        <f>SUM(F17:F24)</f>
        <v/>
      </c>
      <c r="G25" s="8" t="n"/>
      <c r="H25" s="64">
        <f>SUM(H17:H24)</f>
        <v/>
      </c>
      <c r="I25" s="227" t="n"/>
      <c r="J25" s="202" t="n"/>
      <c r="K25" s="203" t="n"/>
      <c r="L25" s="65">
        <f>SUM(L17:L24)</f>
        <v/>
      </c>
      <c r="M25" s="53" t="n"/>
      <c r="N25" s="66">
        <f>SUM(N17:N24)</f>
        <v/>
      </c>
      <c r="O25" s="228" t="n"/>
      <c r="P25" s="67">
        <f>SUM(P17:P24)</f>
        <v/>
      </c>
      <c r="S25" s="22" t="n"/>
      <c r="T25" s="22" t="n"/>
    </row>
    <row r="26" ht="15.75" customFormat="1" customHeight="1" s="21" thickBot="1">
      <c r="A26" s="151" t="inlineStr">
        <is>
          <t>Subtotal Labour</t>
        </is>
      </c>
      <c r="B26" s="200" t="n"/>
      <c r="C26" s="200" t="n"/>
      <c r="D26" s="200" t="n"/>
      <c r="E26" s="201" t="n"/>
      <c r="F26" s="8">
        <f>F14+F25</f>
        <v/>
      </c>
      <c r="G26" s="229" t="n"/>
      <c r="H26" s="64">
        <f>H14+H25</f>
        <v/>
      </c>
      <c r="I26" s="230" t="n"/>
      <c r="J26" s="231" t="n"/>
      <c r="K26" s="232" t="n"/>
      <c r="L26" s="52">
        <f>L14+L25</f>
        <v/>
      </c>
      <c r="M26" s="233" t="n"/>
      <c r="N26" s="68">
        <f>N14+N25</f>
        <v/>
      </c>
      <c r="O26" s="205" t="n"/>
      <c r="P26" s="56">
        <f>P14+P25</f>
        <v/>
      </c>
      <c r="S26" s="22" t="n"/>
      <c r="T26" s="22" t="n"/>
    </row>
    <row r="27" ht="34.5" customFormat="1" customHeight="1" s="21" thickBot="1" thickTop="1">
      <c r="A27" s="147" t="inlineStr">
        <is>
          <t>Subcontractors</t>
        </is>
      </c>
      <c r="B27" s="202" t="n"/>
      <c r="C27" s="202" t="n"/>
      <c r="D27" s="202" t="n"/>
      <c r="E27" s="202" t="n"/>
      <c r="F27" s="202" t="n"/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S27" s="22" t="n"/>
      <c r="T27" s="22" t="n"/>
      <c r="U27" s="22" t="n"/>
      <c r="V27" s="22" t="n"/>
      <c r="W27" s="22" t="n"/>
    </row>
    <row r="28" ht="19.5" customFormat="1" customHeight="1" s="21" thickBot="1">
      <c r="A28" s="69" t="inlineStr">
        <is>
          <t>Item</t>
        </is>
      </c>
      <c r="B28" s="69" t="inlineStr">
        <is>
          <t>Task</t>
        </is>
      </c>
      <c r="C28" s="35" t="inlineStr">
        <is>
          <t>Surcharge</t>
        </is>
      </c>
      <c r="D28" s="199" t="n"/>
      <c r="E28" s="35" t="inlineStr">
        <is>
          <t>Days/Units</t>
        </is>
      </c>
      <c r="F28" s="199" t="n"/>
      <c r="G28" s="36" t="inlineStr">
        <is>
          <t>Other</t>
        </is>
      </c>
      <c r="H28" s="199" t="n"/>
      <c r="I28" s="36" t="inlineStr">
        <is>
          <t>Total Surcharge</t>
        </is>
      </c>
      <c r="J28" s="199" t="n"/>
      <c r="K28" s="36" t="inlineStr">
        <is>
          <t>Unit Price</t>
        </is>
      </c>
      <c r="L28" s="199" t="n"/>
      <c r="M28" s="36" t="inlineStr">
        <is>
          <t>Subtotal 1</t>
        </is>
      </c>
      <c r="N28" s="199" t="n"/>
      <c r="O28" s="35" t="inlineStr">
        <is>
          <t>Margin</t>
        </is>
      </c>
      <c r="P28" s="186" t="inlineStr">
        <is>
          <t>Subtotal 2</t>
        </is>
      </c>
      <c r="S28" s="22" t="n"/>
      <c r="T28" s="22" t="n"/>
      <c r="U28" s="22" t="n"/>
      <c r="V28" s="22" t="n"/>
      <c r="W28" s="22" t="n"/>
    </row>
    <row r="29" ht="16.5" customFormat="1" customHeight="1" s="21" thickTop="1">
      <c r="A29" s="13" t="n">
        <v>1</v>
      </c>
      <c r="B29" s="14" t="inlineStr">
        <is>
          <t>MG Power and Associates Inc</t>
        </is>
      </c>
      <c r="C29" s="234" t="n"/>
      <c r="D29" s="235" t="n"/>
      <c r="E29" s="234" t="n"/>
      <c r="F29" s="235" t="n"/>
      <c r="G29" s="234" t="n"/>
      <c r="H29" s="235" t="n"/>
      <c r="I29" s="236">
        <f>C29*E29*G29</f>
        <v/>
      </c>
      <c r="J29" s="220" t="n"/>
      <c r="K29" s="237" t="n"/>
      <c r="L29" s="235" t="n"/>
      <c r="M29" s="238">
        <f>K29*I29</f>
        <v/>
      </c>
      <c r="N29" s="220" t="n"/>
      <c r="O29" s="5" t="n">
        <v>0.85</v>
      </c>
      <c r="P29" s="45">
        <f>M29/O29</f>
        <v/>
      </c>
      <c r="S29" s="22" t="n"/>
      <c r="T29" s="22" t="n"/>
      <c r="U29" s="22" t="n"/>
      <c r="V29" s="22" t="n"/>
      <c r="W29" s="22" t="n"/>
    </row>
    <row r="30" customFormat="1" s="21">
      <c r="A30" s="5" t="n">
        <v>2</v>
      </c>
      <c r="B30" s="18" t="inlineStr">
        <is>
          <t xml:space="preserve">parking </t>
        </is>
      </c>
      <c r="C30" s="5" t="n"/>
      <c r="D30" s="201" t="n"/>
      <c r="E30" s="5" t="n"/>
      <c r="F30" s="201" t="n"/>
      <c r="G30" s="5" t="n"/>
      <c r="H30" s="201" t="n"/>
      <c r="I30" s="5">
        <f>C30*E30*G30</f>
        <v/>
      </c>
      <c r="J30" s="201" t="n"/>
      <c r="K30" s="239" t="n"/>
      <c r="L30" s="201" t="n"/>
      <c r="M30" s="121">
        <f>K30*I30</f>
        <v/>
      </c>
      <c r="N30" s="201" t="n"/>
      <c r="O30" s="5" t="n">
        <v>0.85</v>
      </c>
      <c r="P30" s="50">
        <f>M30/O30</f>
        <v/>
      </c>
      <c r="S30" s="22" t="n"/>
      <c r="T30" s="22" t="n"/>
      <c r="U30" s="22" t="n"/>
      <c r="V30" s="22" t="n"/>
      <c r="W30" s="22" t="n"/>
    </row>
    <row r="31" customFormat="1" s="21">
      <c r="A31" s="5" t="n">
        <v>3</v>
      </c>
      <c r="B31" s="18" t="inlineStr">
        <is>
          <t>Millwrighting</t>
        </is>
      </c>
      <c r="C31" s="5" t="n"/>
      <c r="D31" s="201" t="n"/>
      <c r="E31" s="5" t="n"/>
      <c r="F31" s="201" t="n"/>
      <c r="G31" s="5" t="n"/>
      <c r="H31" s="201" t="n"/>
      <c r="I31" s="5">
        <f>C31*E31*G31</f>
        <v/>
      </c>
      <c r="J31" s="201" t="n"/>
      <c r="K31" s="239" t="n"/>
      <c r="L31" s="201" t="n"/>
      <c r="M31" s="121">
        <f>K31*I31</f>
        <v/>
      </c>
      <c r="N31" s="201" t="n"/>
      <c r="O31" s="5" t="n">
        <v>0.85</v>
      </c>
      <c r="P31" s="50">
        <f>M31/O31</f>
        <v/>
      </c>
      <c r="S31" s="22" t="n"/>
      <c r="T31" s="22" t="n"/>
      <c r="U31" s="22" t="n"/>
      <c r="V31" s="22" t="n"/>
      <c r="W31" s="22" t="n"/>
    </row>
    <row r="32" customFormat="1" s="21">
      <c r="A32" s="5" t="n">
        <v>4</v>
      </c>
      <c r="B32" s="18" t="inlineStr">
        <is>
          <t>Temp Door</t>
        </is>
      </c>
      <c r="C32" s="5" t="n"/>
      <c r="D32" s="201" t="n"/>
      <c r="E32" s="5" t="n"/>
      <c r="F32" s="201" t="n"/>
      <c r="G32" s="5" t="n"/>
      <c r="H32" s="201" t="n"/>
      <c r="I32" s="5">
        <f>C32*E32*G32</f>
        <v/>
      </c>
      <c r="J32" s="201" t="n"/>
      <c r="K32" s="239" t="n"/>
      <c r="L32" s="201" t="n"/>
      <c r="M32" s="121">
        <f>K32*I32</f>
        <v/>
      </c>
      <c r="N32" s="201" t="n"/>
      <c r="O32" s="5" t="n">
        <v>0.85</v>
      </c>
      <c r="P32" s="50">
        <f>M32/O32</f>
        <v/>
      </c>
      <c r="S32" s="22" t="n"/>
      <c r="T32" s="22" t="n"/>
      <c r="U32" s="22" t="n"/>
      <c r="V32" s="22" t="n"/>
      <c r="W32" s="22" t="n"/>
    </row>
    <row r="33" customFormat="1" s="21">
      <c r="A33" s="5" t="n">
        <v>5</v>
      </c>
      <c r="B33" s="18" t="inlineStr">
        <is>
          <t>Bonding Costs</t>
        </is>
      </c>
      <c r="C33" s="5" t="n"/>
      <c r="D33" s="201" t="n"/>
      <c r="E33" s="5" t="n"/>
      <c r="F33" s="201" t="n"/>
      <c r="G33" s="5" t="n"/>
      <c r="H33" s="201" t="n"/>
      <c r="I33" s="5">
        <f>C33*E33*G33</f>
        <v/>
      </c>
      <c r="J33" s="201" t="n"/>
      <c r="K33" s="239" t="n"/>
      <c r="L33" s="201" t="n"/>
      <c r="M33" s="121">
        <f>K33*I33</f>
        <v/>
      </c>
      <c r="N33" s="201" t="n"/>
      <c r="O33" s="5" t="n">
        <v>0.85</v>
      </c>
      <c r="P33" s="50">
        <f>M33/O33</f>
        <v/>
      </c>
      <c r="S33" s="22" t="n"/>
      <c r="T33" s="22" t="n"/>
      <c r="U33" s="22" t="n"/>
      <c r="V33" s="22" t="n"/>
      <c r="W33" s="22" t="n"/>
    </row>
    <row r="34" customFormat="1" s="21">
      <c r="A34" s="5" t="n"/>
      <c r="B34" s="18" t="n"/>
      <c r="C34" s="5" t="n"/>
      <c r="D34" s="201" t="n"/>
      <c r="E34" s="5" t="n"/>
      <c r="F34" s="201" t="n"/>
      <c r="G34" s="5" t="n"/>
      <c r="H34" s="201" t="n"/>
      <c r="I34" s="5">
        <f>C34*E34*G34</f>
        <v/>
      </c>
      <c r="J34" s="201" t="n"/>
      <c r="K34" s="239" t="n"/>
      <c r="L34" s="201" t="n"/>
      <c r="M34" s="121">
        <f>K34*I34</f>
        <v/>
      </c>
      <c r="N34" s="201" t="n"/>
      <c r="O34" s="5" t="n">
        <v>0.85</v>
      </c>
      <c r="P34" s="50">
        <f>M34/O34</f>
        <v/>
      </c>
      <c r="S34" s="22" t="n"/>
      <c r="T34" s="22" t="n"/>
      <c r="U34" s="22" t="n"/>
      <c r="V34" s="22" t="n"/>
      <c r="W34" s="22" t="n"/>
    </row>
    <row r="35" customFormat="1" s="21">
      <c r="A35" s="5" t="n"/>
      <c r="B35" s="18" t="n"/>
      <c r="C35" s="5" t="n"/>
      <c r="D35" s="201" t="n"/>
      <c r="E35" s="5" t="n"/>
      <c r="F35" s="201" t="n"/>
      <c r="G35" s="5" t="n"/>
      <c r="H35" s="201" t="n"/>
      <c r="I35" s="13">
        <f>C35*E35*G35</f>
        <v/>
      </c>
      <c r="J35" s="206" t="n"/>
      <c r="K35" s="239" t="n"/>
      <c r="L35" s="201" t="n"/>
      <c r="M35" s="15">
        <f>K35*I35</f>
        <v/>
      </c>
      <c r="N35" s="206" t="n"/>
      <c r="O35" s="5" t="n">
        <v>0.85</v>
      </c>
      <c r="P35" s="50">
        <f>M35/O35</f>
        <v/>
      </c>
      <c r="S35" s="22" t="n"/>
      <c r="T35" s="22" t="n"/>
      <c r="U35" s="22" t="n"/>
      <c r="V35" s="22" t="n"/>
      <c r="W35" s="22" t="n"/>
    </row>
    <row r="36" ht="15.75" customFormat="1" customHeight="1" s="21" thickBot="1">
      <c r="A36" s="128" t="inlineStr">
        <is>
          <t>Subtotal Subcontractors</t>
        </is>
      </c>
      <c r="B36" s="240" t="n"/>
      <c r="C36" s="240" t="n"/>
      <c r="D36" s="240" t="n"/>
      <c r="E36" s="240" t="n"/>
      <c r="F36" s="240" t="n"/>
      <c r="G36" s="240" t="n"/>
      <c r="H36" s="240" t="n"/>
      <c r="I36" s="240" t="n"/>
      <c r="J36" s="240" t="n"/>
      <c r="K36" s="240" t="n"/>
      <c r="L36" s="240" t="n"/>
      <c r="M36" s="240" t="n"/>
      <c r="N36" s="240" t="n"/>
      <c r="O36" s="240" t="n"/>
      <c r="P36" s="56">
        <f>SUM(P29:P35)</f>
        <v/>
      </c>
      <c r="S36" s="22" t="n"/>
      <c r="T36" s="22" t="n"/>
      <c r="U36" s="22" t="n"/>
      <c r="V36" s="22" t="n"/>
      <c r="W36" s="22" t="n"/>
    </row>
    <row r="37" ht="34.5" customHeight="1" thickBot="1">
      <c r="A37" s="150" t="inlineStr">
        <is>
          <t>Materials and Equipment</t>
        </is>
      </c>
      <c r="B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9" t="n"/>
      <c r="S37" s="22" t="n"/>
      <c r="T37" s="22" t="n"/>
      <c r="U37" s="22" t="n"/>
      <c r="V37" s="22" t="n"/>
      <c r="W37" s="22" t="n"/>
    </row>
    <row r="38" ht="19.5" customHeight="1" thickBot="1">
      <c r="A38" s="69" t="inlineStr">
        <is>
          <t>Item</t>
        </is>
      </c>
      <c r="B38" s="69" t="inlineStr">
        <is>
          <t>Material Item</t>
        </is>
      </c>
      <c r="C38" s="35" t="inlineStr">
        <is>
          <t>Surcharge</t>
        </is>
      </c>
      <c r="D38" s="199" t="n"/>
      <c r="E38" s="35" t="inlineStr">
        <is>
          <t>Units/Length</t>
        </is>
      </c>
      <c r="F38" s="199" t="n"/>
      <c r="G38" s="36" t="inlineStr">
        <is>
          <t>Other</t>
        </is>
      </c>
      <c r="H38" s="199" t="n"/>
      <c r="I38" s="36" t="inlineStr">
        <is>
          <t>Total Surcharge</t>
        </is>
      </c>
      <c r="J38" s="199" t="n"/>
      <c r="K38" s="36" t="inlineStr">
        <is>
          <t>Unit Price</t>
        </is>
      </c>
      <c r="L38" s="199" t="n"/>
      <c r="M38" s="36" t="inlineStr">
        <is>
          <t>Subtotal 1</t>
        </is>
      </c>
      <c r="N38" s="199" t="n"/>
      <c r="O38" s="35" t="inlineStr">
        <is>
          <t>Margin</t>
        </is>
      </c>
      <c r="P38" s="186" t="inlineStr">
        <is>
          <t>Subtotal 2</t>
        </is>
      </c>
      <c r="S38" s="22" t="n"/>
      <c r="T38" s="22" t="n"/>
      <c r="U38" s="22" t="n"/>
      <c r="V38" s="22" t="n"/>
      <c r="W38" s="22" t="n"/>
    </row>
    <row r="39" ht="16.5" customHeight="1" thickTop="1">
      <c r="A39" s="13" t="n">
        <v>1</v>
      </c>
      <c r="B39" s="14" t="inlineStr">
        <is>
          <t>ABB SWGR</t>
        </is>
      </c>
      <c r="C39" s="236" t="n"/>
      <c r="D39" s="220" t="n"/>
      <c r="E39" s="236" t="n"/>
      <c r="F39" s="220" t="n"/>
      <c r="G39" s="236" t="n"/>
      <c r="H39" s="220" t="n"/>
      <c r="I39" s="236">
        <f>G39*E39*C39</f>
        <v/>
      </c>
      <c r="J39" s="220" t="n"/>
      <c r="K39" s="241" t="n"/>
      <c r="L39" s="220" t="n"/>
      <c r="M39" s="238">
        <f>K39*I39</f>
        <v/>
      </c>
      <c r="N39" s="220" t="n"/>
      <c r="O39" s="5" t="n">
        <v>0.85</v>
      </c>
      <c r="P39" s="70">
        <f>M39/O39</f>
        <v/>
      </c>
      <c r="S39" s="22" t="n"/>
      <c r="T39" s="22" t="n"/>
      <c r="U39" s="22" t="n"/>
      <c r="V39" s="22" t="n"/>
      <c r="W39" s="22" t="n"/>
    </row>
    <row r="40" customFormat="1" s="22">
      <c r="A40" s="13" t="n">
        <v>2</v>
      </c>
      <c r="B40" s="18" t="inlineStr">
        <is>
          <t>parking</t>
        </is>
      </c>
      <c r="C40" s="5" t="n"/>
      <c r="D40" s="201" t="n"/>
      <c r="E40" s="5" t="n"/>
      <c r="F40" s="201" t="n"/>
      <c r="G40" s="5" t="n"/>
      <c r="H40" s="201" t="n"/>
      <c r="I40" s="5">
        <f>G40*E40*C40</f>
        <v/>
      </c>
      <c r="J40" s="201" t="n"/>
      <c r="K40" s="239" t="n"/>
      <c r="L40" s="201" t="n"/>
      <c r="M40" s="121">
        <f>K40*I40</f>
        <v/>
      </c>
      <c r="N40" s="201" t="n"/>
      <c r="O40" s="5" t="n">
        <v>0.85</v>
      </c>
      <c r="P40" s="71">
        <f>M40/O40</f>
        <v/>
      </c>
    </row>
    <row r="41" customFormat="1" s="22">
      <c r="A41" s="13" t="n">
        <v>3</v>
      </c>
      <c r="B41" s="18" t="n"/>
      <c r="C41" s="5" t="n"/>
      <c r="D41" s="201" t="n"/>
      <c r="E41" s="5" t="n"/>
      <c r="F41" s="201" t="n"/>
      <c r="G41" s="5" t="n"/>
      <c r="H41" s="201" t="n"/>
      <c r="I41" s="5">
        <f>G41*E41*C41</f>
        <v/>
      </c>
      <c r="J41" s="201" t="n"/>
      <c r="K41" s="239" t="n"/>
      <c r="L41" s="201" t="n"/>
      <c r="M41" s="121">
        <f>K41*I41</f>
        <v/>
      </c>
      <c r="N41" s="201" t="n"/>
      <c r="O41" s="5" t="n">
        <v>0.85</v>
      </c>
      <c r="P41" s="71">
        <f>M41/O41</f>
        <v/>
      </c>
    </row>
    <row r="42" customFormat="1" s="22">
      <c r="A42" s="13" t="n">
        <v>4</v>
      </c>
      <c r="B42" s="18" t="n"/>
      <c r="C42" s="5" t="n"/>
      <c r="D42" s="201" t="n"/>
      <c r="E42" s="5" t="n"/>
      <c r="F42" s="201" t="n"/>
      <c r="G42" s="5" t="n"/>
      <c r="H42" s="201" t="n"/>
      <c r="I42" s="5">
        <f>G42*E42*C42</f>
        <v/>
      </c>
      <c r="J42" s="201" t="n"/>
      <c r="K42" s="239" t="n"/>
      <c r="L42" s="201" t="n"/>
      <c r="M42" s="121">
        <f>K42*I42</f>
        <v/>
      </c>
      <c r="N42" s="201" t="n"/>
      <c r="O42" s="5" t="n">
        <v>0.85</v>
      </c>
      <c r="P42" s="71">
        <f>M42/O42</f>
        <v/>
      </c>
    </row>
    <row r="43" customFormat="1" s="22">
      <c r="A43" s="13" t="n">
        <v>5</v>
      </c>
      <c r="B43" s="18" t="n"/>
      <c r="C43" s="5" t="n"/>
      <c r="D43" s="201" t="n"/>
      <c r="E43" s="5" t="n"/>
      <c r="F43" s="201" t="n"/>
      <c r="G43" s="5" t="n"/>
      <c r="H43" s="201" t="n"/>
      <c r="I43" s="5">
        <f>G43*E43*C43</f>
        <v/>
      </c>
      <c r="J43" s="201" t="n"/>
      <c r="K43" s="239" t="n"/>
      <c r="L43" s="201" t="n"/>
      <c r="M43" s="121">
        <f>K43*I43</f>
        <v/>
      </c>
      <c r="N43" s="201" t="n"/>
      <c r="O43" s="5" t="n">
        <v>0.85</v>
      </c>
      <c r="P43" s="71">
        <f>M43/O43</f>
        <v/>
      </c>
    </row>
    <row r="44" customFormat="1" s="22">
      <c r="A44" s="13" t="n">
        <v>6</v>
      </c>
      <c r="B44" s="18" t="n"/>
      <c r="C44" s="5" t="n"/>
      <c r="D44" s="201" t="n"/>
      <c r="E44" s="5" t="n"/>
      <c r="F44" s="201" t="n"/>
      <c r="G44" s="5" t="n"/>
      <c r="H44" s="201" t="n"/>
      <c r="I44" s="5">
        <f>G44*E44*C44</f>
        <v/>
      </c>
      <c r="J44" s="201" t="n"/>
      <c r="K44" s="239" t="n"/>
      <c r="L44" s="201" t="n"/>
      <c r="M44" s="121">
        <f>K44*I44</f>
        <v/>
      </c>
      <c r="N44" s="201" t="n"/>
      <c r="O44" s="5" t="n">
        <v>0.85</v>
      </c>
      <c r="P44" s="71">
        <f>M44/O44</f>
        <v/>
      </c>
    </row>
    <row r="45" customFormat="1" s="22">
      <c r="A45" s="13" t="n">
        <v>7</v>
      </c>
      <c r="B45" s="18" t="n"/>
      <c r="C45" s="5" t="n"/>
      <c r="D45" s="201" t="n"/>
      <c r="E45" s="5" t="n"/>
      <c r="F45" s="201" t="n"/>
      <c r="G45" s="5" t="n"/>
      <c r="H45" s="201" t="n"/>
      <c r="I45" s="5">
        <f>G45*E45*C45</f>
        <v/>
      </c>
      <c r="J45" s="201" t="n"/>
      <c r="K45" s="239" t="n"/>
      <c r="L45" s="201" t="n"/>
      <c r="M45" s="121">
        <f>K45*I45</f>
        <v/>
      </c>
      <c r="N45" s="201" t="n"/>
      <c r="O45" s="5" t="n">
        <v>0.85</v>
      </c>
      <c r="P45" s="71">
        <f>M45/O45</f>
        <v/>
      </c>
    </row>
    <row r="46" customFormat="1" s="22">
      <c r="A46" s="13" t="n">
        <v>8</v>
      </c>
      <c r="B46" s="18" t="n"/>
      <c r="C46" s="5" t="n"/>
      <c r="D46" s="201" t="n"/>
      <c r="E46" s="5" t="n"/>
      <c r="F46" s="201" t="n"/>
      <c r="G46" s="5" t="n"/>
      <c r="H46" s="201" t="n"/>
      <c r="I46" s="5">
        <f>G46*E46*C46</f>
        <v/>
      </c>
      <c r="J46" s="201" t="n"/>
      <c r="K46" s="239" t="n"/>
      <c r="L46" s="201" t="n"/>
      <c r="M46" s="121">
        <f>K46*I46</f>
        <v/>
      </c>
      <c r="N46" s="201" t="n"/>
      <c r="O46" s="5" t="n">
        <v>0.85</v>
      </c>
      <c r="P46" s="71">
        <f>M46/O46</f>
        <v/>
      </c>
    </row>
    <row r="47" customFormat="1" s="22">
      <c r="A47" s="13" t="n">
        <v>9</v>
      </c>
      <c r="B47" s="18" t="n"/>
      <c r="C47" s="5" t="n"/>
      <c r="D47" s="201" t="n"/>
      <c r="E47" s="5" t="n"/>
      <c r="F47" s="201" t="n"/>
      <c r="G47" s="5" t="n"/>
      <c r="H47" s="201" t="n"/>
      <c r="I47" s="5">
        <f>G47*E47*C47</f>
        <v/>
      </c>
      <c r="J47" s="201" t="n"/>
      <c r="K47" s="239" t="n"/>
      <c r="L47" s="201" t="n"/>
      <c r="M47" s="121">
        <f>K47*I47</f>
        <v/>
      </c>
      <c r="N47" s="201" t="n"/>
      <c r="O47" s="5" t="n">
        <v>0.85</v>
      </c>
      <c r="P47" s="71">
        <f>M47/O47</f>
        <v/>
      </c>
    </row>
    <row r="48" customFormat="1" s="22">
      <c r="A48" s="13" t="n">
        <v>10</v>
      </c>
      <c r="B48" s="18" t="n"/>
      <c r="C48" s="5" t="n"/>
      <c r="D48" s="201" t="n"/>
      <c r="E48" s="5" t="n"/>
      <c r="F48" s="201" t="n"/>
      <c r="G48" s="5" t="n"/>
      <c r="H48" s="201" t="n"/>
      <c r="I48" s="5">
        <f>G48*E48*C48</f>
        <v/>
      </c>
      <c r="J48" s="201" t="n"/>
      <c r="K48" s="239" t="n"/>
      <c r="L48" s="201" t="n"/>
      <c r="M48" s="121">
        <f>K48*I48</f>
        <v/>
      </c>
      <c r="N48" s="201" t="n"/>
      <c r="O48" s="5" t="n">
        <v>0.85</v>
      </c>
      <c r="P48" s="71">
        <f>M48/O48</f>
        <v/>
      </c>
    </row>
    <row r="49" customFormat="1" s="22">
      <c r="A49" s="13" t="n">
        <v>11</v>
      </c>
      <c r="B49" s="18" t="n"/>
      <c r="C49" s="5" t="n"/>
      <c r="D49" s="201" t="n"/>
      <c r="E49" s="5" t="n"/>
      <c r="F49" s="201" t="n"/>
      <c r="G49" s="5" t="n"/>
      <c r="H49" s="201" t="n"/>
      <c r="I49" s="5">
        <f>G49*E49*C49</f>
        <v/>
      </c>
      <c r="J49" s="201" t="n"/>
      <c r="K49" s="239" t="n"/>
      <c r="L49" s="201" t="n"/>
      <c r="M49" s="121">
        <f>K49*I49</f>
        <v/>
      </c>
      <c r="N49" s="201" t="n"/>
      <c r="O49" s="5" t="n">
        <v>0.85</v>
      </c>
      <c r="P49" s="71">
        <f>M49/O49</f>
        <v/>
      </c>
    </row>
    <row r="50" customFormat="1" s="22">
      <c r="A50" s="13" t="n">
        <v>12</v>
      </c>
      <c r="B50" s="18" t="n"/>
      <c r="C50" s="5" t="n"/>
      <c r="D50" s="201" t="n"/>
      <c r="E50" s="5" t="n"/>
      <c r="F50" s="201" t="n"/>
      <c r="G50" s="5" t="n"/>
      <c r="H50" s="201" t="n"/>
      <c r="I50" s="5">
        <f>G50*E50*C50</f>
        <v/>
      </c>
      <c r="J50" s="201" t="n"/>
      <c r="K50" s="239" t="n"/>
      <c r="L50" s="201" t="n"/>
      <c r="M50" s="121">
        <f>K50*I50</f>
        <v/>
      </c>
      <c r="N50" s="201" t="n"/>
      <c r="O50" s="5" t="n">
        <v>0.85</v>
      </c>
      <c r="P50" s="71">
        <f>M50/O50</f>
        <v/>
      </c>
    </row>
    <row r="51" customFormat="1" s="22">
      <c r="A51" s="13" t="n">
        <v>13</v>
      </c>
      <c r="B51" s="18" t="inlineStr">
        <is>
          <t>Rigid 90deg - 2"</t>
        </is>
      </c>
      <c r="C51" s="5" t="n"/>
      <c r="D51" s="201" t="n"/>
      <c r="E51" s="5" t="n"/>
      <c r="F51" s="201" t="n"/>
      <c r="G51" s="5" t="n"/>
      <c r="H51" s="201" t="n"/>
      <c r="I51" s="5">
        <f>G51*E51*C51</f>
        <v/>
      </c>
      <c r="J51" s="201" t="n"/>
      <c r="K51" s="239" t="n"/>
      <c r="L51" s="201" t="n"/>
      <c r="M51" s="121">
        <f>K51*I51</f>
        <v/>
      </c>
      <c r="N51" s="201" t="n"/>
      <c r="O51" s="5" t="n">
        <v>0.85</v>
      </c>
      <c r="P51" s="71">
        <f>M51/O51</f>
        <v/>
      </c>
    </row>
    <row r="52" customFormat="1" s="22">
      <c r="A52" s="13" t="n">
        <v>14</v>
      </c>
      <c r="B52" s="18" t="inlineStr">
        <is>
          <t>Rigid Bullet Hub Connectors - 2" and Nut</t>
        </is>
      </c>
      <c r="C52" s="5" t="n"/>
      <c r="D52" s="201" t="n"/>
      <c r="E52" s="5" t="n"/>
      <c r="F52" s="201" t="n"/>
      <c r="G52" s="5" t="n"/>
      <c r="H52" s="201" t="n"/>
      <c r="I52" s="5">
        <f>G52*E52*C52</f>
        <v/>
      </c>
      <c r="J52" s="201" t="n"/>
      <c r="K52" s="239" t="n"/>
      <c r="L52" s="201" t="n"/>
      <c r="M52" s="121">
        <f>K52*I52</f>
        <v/>
      </c>
      <c r="N52" s="201" t="n"/>
      <c r="O52" s="5" t="n">
        <v>0.85</v>
      </c>
      <c r="P52" s="71">
        <f>M52/O52</f>
        <v/>
      </c>
    </row>
    <row r="53" customFormat="1" s="22">
      <c r="A53" s="13" t="n">
        <v>15</v>
      </c>
      <c r="B53" s="72" t="inlineStr">
        <is>
          <t>YGA282N - 2 Hole Lug, #4/o AWG</t>
        </is>
      </c>
      <c r="C53" s="5" t="n"/>
      <c r="D53" s="201" t="n"/>
      <c r="E53" s="5" t="n"/>
      <c r="F53" s="201" t="n"/>
      <c r="G53" s="5" t="n"/>
      <c r="H53" s="201" t="n"/>
      <c r="I53" s="5">
        <f>G53*E53*C53</f>
        <v/>
      </c>
      <c r="J53" s="201" t="n"/>
      <c r="K53" s="239" t="n"/>
      <c r="L53" s="201" t="n"/>
      <c r="M53" s="121">
        <f>K53*I53</f>
        <v/>
      </c>
      <c r="N53" s="201" t="n"/>
      <c r="O53" s="5" t="n">
        <v>0.85</v>
      </c>
      <c r="P53" s="71">
        <f>M53/O53</f>
        <v/>
      </c>
    </row>
    <row r="54" customFormat="1" s="22">
      <c r="A54" s="13" t="n">
        <v>16</v>
      </c>
      <c r="B54" s="72" t="inlineStr">
        <is>
          <t>Mounting tape - VBH F-9473PB by 3M</t>
        </is>
      </c>
      <c r="C54" s="5" t="n"/>
      <c r="D54" s="201" t="n"/>
      <c r="E54" s="5" t="n"/>
      <c r="F54" s="201" t="n"/>
      <c r="G54" s="5" t="n"/>
      <c r="H54" s="201" t="n"/>
      <c r="I54" s="5">
        <f>G54*E54*C54</f>
        <v/>
      </c>
      <c r="J54" s="201" t="n"/>
      <c r="K54" s="239" t="n"/>
      <c r="L54" s="201" t="n"/>
      <c r="M54" s="121">
        <f>K54*I54</f>
        <v/>
      </c>
      <c r="N54" s="201" t="n"/>
      <c r="O54" s="5" t="n">
        <v>0.85</v>
      </c>
      <c r="P54" s="71">
        <f>M54/O54</f>
        <v/>
      </c>
    </row>
    <row r="55" customFormat="1" s="22">
      <c r="A55" s="13" t="n">
        <v>17</v>
      </c>
      <c r="B55" s="72" t="inlineStr">
        <is>
          <t>Foam tape - VBH F-4910 by 3M</t>
        </is>
      </c>
      <c r="C55" s="5" t="n"/>
      <c r="D55" s="201" t="n"/>
      <c r="E55" s="5" t="n"/>
      <c r="F55" s="201" t="n"/>
      <c r="G55" s="5" t="n"/>
      <c r="H55" s="201" t="n"/>
      <c r="I55" s="5">
        <f>G55*E55*C55</f>
        <v/>
      </c>
      <c r="J55" s="201" t="n"/>
      <c r="K55" s="239" t="n"/>
      <c r="L55" s="201" t="n"/>
      <c r="M55" s="121">
        <f>K55*I55</f>
        <v/>
      </c>
      <c r="N55" s="201" t="n"/>
      <c r="O55" s="5" t="n">
        <v>0.85</v>
      </c>
      <c r="P55" s="71">
        <f>M55/O55</f>
        <v/>
      </c>
    </row>
    <row r="56" customFormat="1" s="22">
      <c r="A56" s="13" t="n">
        <v>18</v>
      </c>
      <c r="B56" s="72" t="inlineStr">
        <is>
          <t>AS-7096N Sealant</t>
        </is>
      </c>
      <c r="C56" s="5" t="n"/>
      <c r="D56" s="201" t="n"/>
      <c r="E56" s="5" t="n"/>
      <c r="F56" s="201" t="n"/>
      <c r="G56" s="5" t="n"/>
      <c r="H56" s="201" t="n"/>
      <c r="I56" s="5">
        <f>G56*E56*C56</f>
        <v/>
      </c>
      <c r="J56" s="201" t="n"/>
      <c r="K56" s="239" t="n"/>
      <c r="L56" s="201" t="n"/>
      <c r="M56" s="121">
        <f>K56*I56</f>
        <v/>
      </c>
      <c r="N56" s="201" t="n"/>
      <c r="O56" s="5" t="n">
        <v>0.85</v>
      </c>
      <c r="P56" s="71">
        <f>M56/O56</f>
        <v/>
      </c>
    </row>
    <row r="57" customFormat="1" s="22">
      <c r="A57" s="13" t="n">
        <v>19</v>
      </c>
      <c r="B57" s="72" t="inlineStr">
        <is>
          <t>Breaker HLL36060</t>
        </is>
      </c>
      <c r="C57" s="5" t="n"/>
      <c r="D57" s="201" t="n"/>
      <c r="E57" s="5" t="n"/>
      <c r="F57" s="201" t="n"/>
      <c r="G57" s="5" t="n"/>
      <c r="H57" s="201" t="n"/>
      <c r="I57" s="5">
        <f>G57*E57*C57</f>
        <v/>
      </c>
      <c r="J57" s="201" t="n"/>
      <c r="K57" s="239" t="n"/>
      <c r="L57" s="201" t="n"/>
      <c r="M57" s="121">
        <f>K57*I57</f>
        <v/>
      </c>
      <c r="N57" s="201" t="n"/>
      <c r="O57" s="5" t="n">
        <v>0.85</v>
      </c>
      <c r="P57" s="71">
        <f>M57/O57</f>
        <v/>
      </c>
    </row>
    <row r="58" ht="31.5" customFormat="1" customHeight="1" s="22">
      <c r="A58" s="13" t="n">
        <v>20</v>
      </c>
      <c r="B58" s="72" t="inlineStr">
        <is>
          <t>Pull Box, EEMAC-1 300mX300mmX150mm (P/N: CS12126)</t>
        </is>
      </c>
      <c r="C58" s="5" t="n"/>
      <c r="D58" s="201" t="n"/>
      <c r="E58" s="5" t="n"/>
      <c r="F58" s="201" t="n"/>
      <c r="G58" s="5" t="n"/>
      <c r="H58" s="201" t="n"/>
      <c r="I58" s="5">
        <f>G58*E58*C58</f>
        <v/>
      </c>
      <c r="J58" s="201" t="n"/>
      <c r="K58" s="239" t="n"/>
      <c r="L58" s="201" t="n"/>
      <c r="M58" s="121">
        <f>K58*I58</f>
        <v/>
      </c>
      <c r="N58" s="201" t="n"/>
      <c r="O58" s="5" t="n">
        <v>0.85</v>
      </c>
      <c r="P58" s="71">
        <f>M58/O58</f>
        <v/>
      </c>
    </row>
    <row r="59" customFormat="1" s="22">
      <c r="A59" s="13" t="n">
        <v>27</v>
      </c>
      <c r="B59" s="72" t="inlineStr">
        <is>
          <t>Aluminum Bracket (Aluma Form)</t>
        </is>
      </c>
      <c r="C59" s="5" t="n"/>
      <c r="D59" s="201" t="n"/>
      <c r="E59" s="5" t="n"/>
      <c r="F59" s="201" t="n"/>
      <c r="G59" s="5" t="n"/>
      <c r="H59" s="201" t="n"/>
      <c r="I59" s="5">
        <f>G59*E59*C59</f>
        <v/>
      </c>
      <c r="J59" s="201" t="n"/>
      <c r="K59" s="239" t="n"/>
      <c r="L59" s="201" t="n"/>
      <c r="M59" s="121">
        <f>K59*I59</f>
        <v/>
      </c>
      <c r="N59" s="201" t="n"/>
      <c r="O59" s="5" t="n">
        <v>0.85</v>
      </c>
      <c r="P59" s="71">
        <f>M59/O59</f>
        <v/>
      </c>
    </row>
    <row r="60">
      <c r="A60" s="13" t="n">
        <v>28</v>
      </c>
      <c r="B60" s="18" t="n"/>
      <c r="C60" s="5" t="n"/>
      <c r="D60" s="201" t="n"/>
      <c r="E60" s="5" t="n"/>
      <c r="F60" s="201" t="n"/>
      <c r="G60" s="5" t="n"/>
      <c r="H60" s="201" t="n"/>
      <c r="I60" s="5">
        <f>G60*E60*C60</f>
        <v/>
      </c>
      <c r="J60" s="201" t="n"/>
      <c r="K60" s="239" t="n"/>
      <c r="L60" s="201" t="n"/>
      <c r="M60" s="121">
        <f>K60*I60</f>
        <v/>
      </c>
      <c r="N60" s="201" t="n"/>
      <c r="O60" s="5" t="n">
        <v>0.85</v>
      </c>
      <c r="P60" s="71">
        <f>M60/O60</f>
        <v/>
      </c>
      <c r="S60" s="22" t="n"/>
      <c r="T60" s="22" t="n"/>
      <c r="U60" s="22" t="n"/>
      <c r="V60" s="22" t="n"/>
      <c r="W60" s="22" t="n"/>
    </row>
    <row r="61">
      <c r="A61" s="13" t="n">
        <v>29</v>
      </c>
      <c r="B61" s="4" t="n"/>
      <c r="C61" s="5" t="n"/>
      <c r="D61" s="201" t="n"/>
      <c r="E61" s="5" t="n"/>
      <c r="F61" s="201" t="n"/>
      <c r="G61" s="5" t="n"/>
      <c r="H61" s="201" t="n"/>
      <c r="I61" s="5">
        <f>G61*E61*C61</f>
        <v/>
      </c>
      <c r="J61" s="201" t="n"/>
      <c r="K61" s="239" t="n"/>
      <c r="L61" s="201" t="n"/>
      <c r="M61" s="121">
        <f>K61*I61</f>
        <v/>
      </c>
      <c r="N61" s="201" t="n"/>
      <c r="O61" s="5" t="n">
        <v>0.85</v>
      </c>
      <c r="P61" s="71">
        <f>M61/O61</f>
        <v/>
      </c>
      <c r="S61" s="22" t="n"/>
      <c r="T61" s="73" t="n"/>
      <c r="U61" s="22" t="n"/>
      <c r="V61" s="22" t="n"/>
      <c r="W61" s="22" t="n"/>
    </row>
    <row r="62" ht="16.5" customFormat="1" customHeight="1" s="21" thickBot="1">
      <c r="A62" s="109" t="inlineStr">
        <is>
          <t>Subtotal Materials and Equipment</t>
        </is>
      </c>
      <c r="B62" s="200" t="n"/>
      <c r="C62" s="200" t="n"/>
      <c r="D62" s="200" t="n"/>
      <c r="E62" s="200" t="n"/>
      <c r="F62" s="200" t="n"/>
      <c r="G62" s="200" t="n"/>
      <c r="H62" s="200" t="n"/>
      <c r="I62" s="200" t="n"/>
      <c r="J62" s="200" t="n"/>
      <c r="K62" s="200" t="n"/>
      <c r="L62" s="200" t="n"/>
      <c r="M62" s="200" t="n"/>
      <c r="N62" s="200" t="n"/>
      <c r="O62" s="200" t="n"/>
      <c r="P62" s="74">
        <f>SUM(P39:P61)</f>
        <v/>
      </c>
      <c r="S62" s="22" t="n"/>
      <c r="T62" s="22" t="n"/>
      <c r="U62" s="22" t="n"/>
      <c r="V62" s="22" t="n"/>
      <c r="W62" s="22" t="n"/>
    </row>
    <row r="63" ht="16.5" customHeight="1" thickTop="1">
      <c r="A63" s="33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3" t="n"/>
      <c r="S63" s="22" t="n"/>
      <c r="T63" s="22" t="n"/>
      <c r="U63" s="22" t="n"/>
      <c r="V63" s="22" t="n"/>
      <c r="W63" s="22" t="n"/>
    </row>
    <row r="64">
      <c r="A64" s="204" t="n"/>
      <c r="B64" s="205" t="n"/>
      <c r="C64" s="205" t="n"/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  <c r="O64" s="205" t="n"/>
      <c r="P64" s="206" t="n"/>
      <c r="S64" s="22" t="n"/>
      <c r="T64" s="22" t="n"/>
      <c r="U64" s="22" t="n"/>
      <c r="V64" s="22" t="n"/>
      <c r="W64" s="22" t="n"/>
    </row>
    <row r="65">
      <c r="A65" s="103" t="inlineStr">
        <is>
          <t>Project Subtotal</t>
        </is>
      </c>
      <c r="B65" s="200" t="n"/>
      <c r="C65" s="200" t="n"/>
      <c r="D65" s="200" t="n"/>
      <c r="E65" s="200" t="n"/>
      <c r="F65" s="200" t="n"/>
      <c r="G65" s="200" t="n"/>
      <c r="H65" s="200" t="n"/>
      <c r="I65" s="200" t="n"/>
      <c r="J65" s="200" t="n"/>
      <c r="K65" s="200" t="n"/>
      <c r="L65" s="200" t="n"/>
      <c r="M65" s="200" t="n"/>
      <c r="N65" s="200" t="n"/>
      <c r="O65" s="201" t="n"/>
      <c r="P65" s="75">
        <f>P26+P36+P62</f>
        <v/>
      </c>
      <c r="S65" s="22" t="n"/>
      <c r="T65" s="22" t="n"/>
      <c r="U65" s="22" t="n"/>
      <c r="V65" s="22" t="n"/>
      <c r="W65" s="22" t="n"/>
    </row>
    <row r="66">
      <c r="A66" s="103" t="n"/>
      <c r="B66" s="200" t="n"/>
      <c r="C66" s="200" t="n"/>
      <c r="D66" s="200" t="n"/>
      <c r="E66" s="200" t="n"/>
      <c r="F66" s="200" t="n"/>
      <c r="G66" s="200" t="n"/>
      <c r="H66" s="200" t="n"/>
      <c r="I66" s="200" t="n"/>
      <c r="J66" s="200" t="n"/>
      <c r="K66" s="200" t="n"/>
      <c r="L66" s="200" t="n"/>
      <c r="M66" s="200" t="n"/>
      <c r="N66" s="200" t="n"/>
      <c r="O66" s="200" t="n"/>
      <c r="P66" s="201" t="n"/>
      <c r="S66" s="22" t="n"/>
      <c r="T66" s="22" t="n"/>
      <c r="U66" s="22" t="n"/>
      <c r="V66" s="22" t="n"/>
      <c r="W66" s="22" t="n"/>
    </row>
    <row r="67">
      <c r="A67" s="103" t="inlineStr">
        <is>
          <t>Cash Allowance</t>
        </is>
      </c>
      <c r="B67" s="200" t="n"/>
      <c r="C67" s="200" t="n"/>
      <c r="D67" s="200" t="n"/>
      <c r="E67" s="200" t="n"/>
      <c r="F67" s="200" t="n"/>
      <c r="G67" s="200" t="n"/>
      <c r="H67" s="200" t="n"/>
      <c r="I67" s="200" t="n"/>
      <c r="J67" s="200" t="n"/>
      <c r="K67" s="200" t="n"/>
      <c r="L67" s="200" t="n"/>
      <c r="M67" s="200" t="n"/>
      <c r="N67" s="200" t="n"/>
      <c r="O67" s="201" t="n"/>
      <c r="P67" s="75" t="n">
        <v>0</v>
      </c>
      <c r="S67" s="22" t="n"/>
      <c r="T67" s="22" t="n"/>
      <c r="U67" s="22" t="n"/>
      <c r="V67" s="22" t="n"/>
      <c r="W67" s="22" t="n"/>
    </row>
    <row r="68">
      <c r="A68" s="103" t="n"/>
      <c r="B68" s="200" t="n"/>
      <c r="C68" s="200" t="n"/>
      <c r="D68" s="200" t="n"/>
      <c r="E68" s="200" t="n"/>
      <c r="F68" s="200" t="n"/>
      <c r="G68" s="200" t="n"/>
      <c r="H68" s="200" t="n"/>
      <c r="I68" s="200" t="n"/>
      <c r="J68" s="200" t="n"/>
      <c r="K68" s="200" t="n"/>
      <c r="L68" s="200" t="n"/>
      <c r="M68" s="200" t="n"/>
      <c r="N68" s="200" t="n"/>
      <c r="O68" s="200" t="n"/>
      <c r="P68" s="201" t="n"/>
      <c r="S68" s="22" t="n"/>
      <c r="T68" s="22" t="n"/>
      <c r="U68" s="22" t="n"/>
      <c r="V68" s="22" t="n"/>
      <c r="W68" s="22" t="n"/>
    </row>
    <row r="69">
      <c r="A69" s="103" t="inlineStr">
        <is>
          <t>Utility Isolation</t>
        </is>
      </c>
      <c r="B69" s="200" t="n"/>
      <c r="C69" s="200" t="n"/>
      <c r="D69" s="200" t="n"/>
      <c r="E69" s="200" t="n"/>
      <c r="F69" s="200" t="n"/>
      <c r="G69" s="200" t="n"/>
      <c r="H69" s="200" t="n"/>
      <c r="I69" s="200" t="n"/>
      <c r="J69" s="200" t="n"/>
      <c r="K69" s="200" t="n"/>
      <c r="L69" s="200" t="n"/>
      <c r="M69" s="200" t="n"/>
      <c r="N69" s="200" t="n"/>
      <c r="O69" s="201" t="n"/>
      <c r="P69" s="75" t="n">
        <v>0</v>
      </c>
      <c r="S69" s="22" t="n"/>
      <c r="T69" s="22" t="n"/>
      <c r="U69" s="22" t="n"/>
      <c r="V69" s="22" t="n"/>
      <c r="W69" s="22" t="n"/>
    </row>
    <row r="70">
      <c r="A70" s="103" t="n"/>
      <c r="B70" s="200" t="n"/>
      <c r="C70" s="200" t="n"/>
      <c r="D70" s="200" t="n"/>
      <c r="E70" s="200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  <c r="P70" s="201" t="n"/>
      <c r="S70" s="22" t="n"/>
      <c r="T70" s="22" t="n"/>
      <c r="U70" s="22" t="n"/>
      <c r="V70" s="22" t="n"/>
      <c r="W70" s="22" t="n"/>
    </row>
    <row r="71">
      <c r="A71" s="104" t="inlineStr">
        <is>
          <t>Discount</t>
        </is>
      </c>
      <c r="B71" s="200" t="n"/>
      <c r="C71" s="200" t="n"/>
      <c r="D71" s="200" t="n"/>
      <c r="E71" s="200" t="n"/>
      <c r="F71" s="200" t="n"/>
      <c r="G71" s="200" t="n"/>
      <c r="H71" s="200" t="n"/>
      <c r="I71" s="200" t="n"/>
      <c r="J71" s="200" t="n"/>
      <c r="K71" s="200" t="n"/>
      <c r="L71" s="200" t="n"/>
      <c r="M71" s="200" t="n"/>
      <c r="N71" s="200" t="n"/>
      <c r="O71" s="201" t="n"/>
      <c r="P71" s="76" t="n">
        <v>0</v>
      </c>
      <c r="S71" s="22" t="n"/>
      <c r="T71" s="22" t="n"/>
      <c r="U71" s="22" t="n"/>
      <c r="V71" s="22" t="n"/>
      <c r="W71" s="22" t="n"/>
    </row>
    <row r="72">
      <c r="A72" s="189" t="n"/>
      <c r="B72" s="200" t="n"/>
      <c r="C72" s="200" t="n"/>
      <c r="D72" s="200" t="n"/>
      <c r="E72" s="200" t="n"/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  <c r="P72" s="201" t="n"/>
      <c r="S72" s="22" t="n"/>
      <c r="T72" s="22" t="n"/>
      <c r="U72" s="22" t="n"/>
      <c r="V72" s="22" t="n"/>
      <c r="W72" s="22" t="n"/>
    </row>
    <row r="73">
      <c r="A73" s="103" t="inlineStr">
        <is>
          <t>Project Total</t>
        </is>
      </c>
      <c r="B73" s="200" t="n"/>
      <c r="C73" s="200" t="n"/>
      <c r="D73" s="200" t="n"/>
      <c r="E73" s="200" t="n"/>
      <c r="F73" s="200" t="n"/>
      <c r="G73" s="200" t="n"/>
      <c r="H73" s="200" t="n"/>
      <c r="I73" s="200" t="n"/>
      <c r="J73" s="200" t="n"/>
      <c r="K73" s="200" t="n"/>
      <c r="L73" s="200" t="n"/>
      <c r="M73" s="200" t="n"/>
      <c r="N73" s="200" t="n"/>
      <c r="O73" s="201" t="n"/>
      <c r="P73" s="75">
        <f>SUM(P65,P67,P69, P71)</f>
        <v/>
      </c>
      <c r="S73" s="22" t="n"/>
      <c r="T73" s="73" t="n"/>
      <c r="U73" s="22" t="n"/>
      <c r="V73" s="22" t="n"/>
      <c r="W73" s="22" t="n"/>
    </row>
    <row r="74">
      <c r="A74" s="103" t="inlineStr">
        <is>
          <t>HST</t>
        </is>
      </c>
      <c r="B74" s="200" t="n"/>
      <c r="C74" s="200" t="n"/>
      <c r="D74" s="200" t="n"/>
      <c r="E74" s="200" t="n"/>
      <c r="F74" s="200" t="n"/>
      <c r="G74" s="200" t="n"/>
      <c r="H74" s="200" t="n"/>
      <c r="I74" s="200" t="n"/>
      <c r="J74" s="200" t="n"/>
      <c r="K74" s="200" t="n"/>
      <c r="L74" s="200" t="n"/>
      <c r="M74" s="200" t="n"/>
      <c r="N74" s="200" t="n"/>
      <c r="O74" s="201" t="n"/>
      <c r="P74" s="75">
        <f>P73*0.13</f>
        <v/>
      </c>
    </row>
    <row r="75">
      <c r="A75" s="103" t="inlineStr">
        <is>
          <t>TOTAL</t>
        </is>
      </c>
      <c r="B75" s="200" t="n"/>
      <c r="C75" s="200" t="n"/>
      <c r="D75" s="200" t="n"/>
      <c r="E75" s="200" t="n"/>
      <c r="F75" s="200" t="n"/>
      <c r="G75" s="200" t="n"/>
      <c r="H75" s="200" t="n"/>
      <c r="I75" s="200" t="n"/>
      <c r="J75" s="200" t="n"/>
      <c r="K75" s="200" t="n"/>
      <c r="L75" s="200" t="n"/>
      <c r="M75" s="200" t="n"/>
      <c r="N75" s="200" t="n"/>
      <c r="O75" s="201" t="n"/>
      <c r="P75" s="75">
        <f>P73+P74</f>
        <v/>
      </c>
    </row>
    <row r="76">
      <c r="A76" s="27" t="inlineStr">
        <is>
          <t>HST Check for final price should be the same as above</t>
        </is>
      </c>
      <c r="P76" s="29">
        <f>P73*1.13</f>
        <v/>
      </c>
    </row>
    <row r="84" ht="16.5" customHeight="1" thickBot="1"/>
    <row r="85" ht="32.25" customHeight="1" thickBot="1">
      <c r="B85" s="27" t="inlineStr">
        <is>
          <t>APS (Cost)</t>
        </is>
      </c>
      <c r="C85" s="93" t="inlineStr">
        <is>
          <t>Regular</t>
        </is>
      </c>
      <c r="D85" s="93" t="inlineStr">
        <is>
          <t>Regular W/truck</t>
        </is>
      </c>
      <c r="E85" s="199" t="n"/>
      <c r="F85" s="82" t="inlineStr">
        <is>
          <t>Double Time</t>
        </is>
      </c>
      <c r="G85" s="82" t="inlineStr">
        <is>
          <t>Double Time W/truck</t>
        </is>
      </c>
      <c r="H85" s="83" t="inlineStr">
        <is>
          <t>Shift 20%</t>
        </is>
      </c>
      <c r="I85" s="83" t="inlineStr">
        <is>
          <t>Shift 20% W/truck</t>
        </is>
      </c>
    </row>
    <row r="86">
      <c r="B86" s="77" t="inlineStr">
        <is>
          <t xml:space="preserve">FOREMAN                                          </t>
        </is>
      </c>
      <c r="C86" s="207" t="n">
        <v>98.20999999999999</v>
      </c>
      <c r="D86" s="207">
        <f>(C86+17)</f>
        <v/>
      </c>
      <c r="E86" s="206" t="n"/>
      <c r="F86" s="208" t="n">
        <v>196.41</v>
      </c>
      <c r="G86" s="208">
        <f>(F86+17)</f>
        <v/>
      </c>
      <c r="H86" s="209" t="n">
        <v>112.94</v>
      </c>
      <c r="I86" s="210">
        <f>H86+17</f>
        <v/>
      </c>
      <c r="J86" s="211" t="n"/>
      <c r="K86" s="211" t="n"/>
    </row>
    <row r="87">
      <c r="B87" s="77" t="inlineStr">
        <is>
          <t xml:space="preserve">JOURNEYMAN                                 </t>
        </is>
      </c>
      <c r="C87" s="212" t="n">
        <v>87.65000000000001</v>
      </c>
      <c r="D87" s="212">
        <f>(C87+17)</f>
        <v/>
      </c>
      <c r="E87" s="201" t="n"/>
      <c r="F87" s="213" t="n">
        <v>175.31</v>
      </c>
      <c r="G87" s="213">
        <f>(F87+17)</f>
        <v/>
      </c>
      <c r="H87" s="214" t="n">
        <v>100.8</v>
      </c>
      <c r="I87" s="215">
        <f>H87+17</f>
        <v/>
      </c>
      <c r="J87" s="211" t="n"/>
      <c r="K87" s="211" t="n"/>
    </row>
    <row r="88">
      <c r="B88" s="77" t="inlineStr">
        <is>
          <t xml:space="preserve">APPRENTICE #5                                </t>
        </is>
      </c>
      <c r="C88" s="212" t="n">
        <v>71.38</v>
      </c>
      <c r="D88" s="212">
        <f>(C88+17)</f>
        <v/>
      </c>
      <c r="E88" s="201" t="n"/>
      <c r="F88" s="213" t="n">
        <v>142.73</v>
      </c>
      <c r="G88" s="213">
        <f>(F88+17)</f>
        <v/>
      </c>
      <c r="H88" s="214" t="n">
        <v>82.09</v>
      </c>
      <c r="I88" s="215">
        <f>H88+17</f>
        <v/>
      </c>
      <c r="J88" s="211" t="n"/>
      <c r="K88" s="211" t="n"/>
    </row>
    <row r="89">
      <c r="B89" s="77" t="inlineStr">
        <is>
          <t xml:space="preserve">APPRENTICE #4                                </t>
        </is>
      </c>
      <c r="C89" s="212" t="n">
        <v>63.34</v>
      </c>
      <c r="D89" s="212">
        <f>(C89+17)</f>
        <v/>
      </c>
      <c r="E89" s="201" t="n"/>
      <c r="F89" s="213" t="n">
        <v>126.7</v>
      </c>
      <c r="G89" s="213">
        <f>(F89+17)</f>
        <v/>
      </c>
      <c r="H89" s="214" t="n">
        <v>72.84</v>
      </c>
      <c r="I89" s="215">
        <f>H89+17</f>
        <v/>
      </c>
      <c r="J89" s="211" t="n"/>
      <c r="K89" s="211" t="n"/>
    </row>
    <row r="90">
      <c r="B90" s="77" t="inlineStr">
        <is>
          <t xml:space="preserve">APPRENTICE #3                              </t>
        </is>
      </c>
      <c r="C90" s="212" t="n">
        <v>55.33</v>
      </c>
      <c r="D90" s="212">
        <f>(C90+17)</f>
        <v/>
      </c>
      <c r="E90" s="201" t="n"/>
      <c r="F90" s="213" t="n">
        <v>110.64</v>
      </c>
      <c r="G90" s="213">
        <f>(F90+17)</f>
        <v/>
      </c>
      <c r="H90" s="214" t="n">
        <v>63.63</v>
      </c>
      <c r="I90" s="215">
        <f>H90+17</f>
        <v/>
      </c>
      <c r="J90" s="211" t="n"/>
      <c r="K90" s="211" t="n"/>
    </row>
    <row r="91">
      <c r="B91" s="77" t="inlineStr">
        <is>
          <t xml:space="preserve">APPRENTICE #2                                 </t>
        </is>
      </c>
      <c r="C91" s="212" t="n">
        <v>47.3</v>
      </c>
      <c r="D91" s="212">
        <f>(C91+17)</f>
        <v/>
      </c>
      <c r="E91" s="201" t="n"/>
      <c r="F91" s="213" t="n">
        <v>94.59</v>
      </c>
      <c r="G91" s="213">
        <f>(F91+17)</f>
        <v/>
      </c>
      <c r="H91" s="214" t="n">
        <v>54.4</v>
      </c>
      <c r="I91" s="215">
        <f>H91+17</f>
        <v/>
      </c>
      <c r="J91" s="211" t="n"/>
      <c r="K91" s="211" t="n"/>
    </row>
    <row r="92">
      <c r="B92" s="77" t="inlineStr">
        <is>
          <t xml:space="preserve">APPRENTICE #1                                 </t>
        </is>
      </c>
      <c r="C92" s="212" t="n">
        <v>39.25</v>
      </c>
      <c r="D92" s="212">
        <f>(C92+17)</f>
        <v/>
      </c>
      <c r="E92" s="201" t="n"/>
      <c r="F92" s="213" t="n">
        <v>78.48999999999999</v>
      </c>
      <c r="G92" s="213">
        <f>(F92+17)</f>
        <v/>
      </c>
      <c r="H92" s="214" t="n">
        <v>45.14</v>
      </c>
      <c r="I92" s="215">
        <f>H92+17</f>
        <v/>
      </c>
      <c r="J92" s="211" t="n"/>
      <c r="K92" s="211" t="n"/>
    </row>
    <row r="93" ht="16.5" customHeight="1" thickBot="1">
      <c r="D93" s="216" t="n"/>
      <c r="E93" s="217" t="n"/>
    </row>
    <row r="94" ht="32.25" customHeight="1" thickBot="1">
      <c r="B94" s="27" t="inlineStr">
        <is>
          <t>APS (Sell)</t>
        </is>
      </c>
      <c r="C94" s="93" t="inlineStr">
        <is>
          <t>Regular</t>
        </is>
      </c>
      <c r="D94" s="93" t="inlineStr">
        <is>
          <t>Regular W/truck</t>
        </is>
      </c>
      <c r="E94" s="199" t="n"/>
      <c r="F94" s="82" t="inlineStr">
        <is>
          <t>Double Time</t>
        </is>
      </c>
      <c r="G94" s="82" t="inlineStr">
        <is>
          <t>Double Time W/truck</t>
        </is>
      </c>
      <c r="H94" s="83" t="inlineStr">
        <is>
          <t>Shift 20%</t>
        </is>
      </c>
      <c r="I94" s="83" t="inlineStr">
        <is>
          <t>Shift 20% W/truck</t>
        </is>
      </c>
      <c r="K94" s="33" t="inlineStr">
        <is>
          <t>Margin</t>
        </is>
      </c>
    </row>
    <row r="95">
      <c r="B95" s="77" t="inlineStr">
        <is>
          <t xml:space="preserve">FOREMAN                                          </t>
        </is>
      </c>
      <c r="C95" s="218">
        <f>C86/$K$95</f>
        <v/>
      </c>
      <c r="D95" s="219">
        <f>D86/$K$95</f>
        <v/>
      </c>
      <c r="E95" s="220" t="n"/>
      <c r="F95" s="218">
        <f>F86/$K$95</f>
        <v/>
      </c>
      <c r="G95" s="218">
        <f>G86/$K$95</f>
        <v/>
      </c>
      <c r="H95" s="218">
        <f>H86/$K$95</f>
        <v/>
      </c>
      <c r="I95" s="218">
        <f>I86/$K$95</f>
        <v/>
      </c>
      <c r="K95" s="5" t="n">
        <v>0.8</v>
      </c>
    </row>
    <row r="96">
      <c r="B96" s="77" t="inlineStr">
        <is>
          <t xml:space="preserve">JOURNEYMAN                                 </t>
        </is>
      </c>
      <c r="C96" s="218">
        <f>C87/$K$95</f>
        <v/>
      </c>
      <c r="D96" s="212">
        <f>D87/$K$95</f>
        <v/>
      </c>
      <c r="E96" s="201" t="n"/>
      <c r="F96" s="218">
        <f>F87/$K$95</f>
        <v/>
      </c>
      <c r="G96" s="218">
        <f>G87/$K$95</f>
        <v/>
      </c>
      <c r="H96" s="218">
        <f>H87/$K$95</f>
        <v/>
      </c>
      <c r="I96" s="218">
        <f>I87/$K$95</f>
        <v/>
      </c>
    </row>
    <row r="97">
      <c r="B97" s="77" t="inlineStr">
        <is>
          <t xml:space="preserve">APPRENTICE #5                                </t>
        </is>
      </c>
      <c r="C97" s="218">
        <f>C88/$K$95</f>
        <v/>
      </c>
      <c r="D97" s="212">
        <f>D88/$K$95</f>
        <v/>
      </c>
      <c r="E97" s="201" t="n"/>
      <c r="F97" s="218">
        <f>F88/$K$95</f>
        <v/>
      </c>
      <c r="G97" s="218">
        <f>G88/$K$95</f>
        <v/>
      </c>
      <c r="H97" s="218">
        <f>H88/$K$95</f>
        <v/>
      </c>
      <c r="I97" s="218">
        <f>I88/$K$95</f>
        <v/>
      </c>
    </row>
    <row r="98">
      <c r="B98" s="77" t="inlineStr">
        <is>
          <t xml:space="preserve">APPRENTICE #4                                </t>
        </is>
      </c>
      <c r="C98" s="218">
        <f>C89/$K$95</f>
        <v/>
      </c>
      <c r="D98" s="212">
        <f>D89/$K$95</f>
        <v/>
      </c>
      <c r="E98" s="201" t="n"/>
      <c r="F98" s="218">
        <f>F89/$K$95</f>
        <v/>
      </c>
      <c r="G98" s="218">
        <f>G89/$K$95</f>
        <v/>
      </c>
      <c r="H98" s="218">
        <f>H89/$K$95</f>
        <v/>
      </c>
      <c r="I98" s="218">
        <f>I89/$K$95</f>
        <v/>
      </c>
    </row>
    <row r="99">
      <c r="B99" s="77" t="inlineStr">
        <is>
          <t xml:space="preserve">APPRENTICE #3                              </t>
        </is>
      </c>
      <c r="C99" s="218">
        <f>C90/$K$95</f>
        <v/>
      </c>
      <c r="D99" s="212">
        <f>D90/$K$95</f>
        <v/>
      </c>
      <c r="E99" s="201" t="n"/>
      <c r="F99" s="218">
        <f>F90/$K$95</f>
        <v/>
      </c>
      <c r="G99" s="218">
        <f>G90/$K$95</f>
        <v/>
      </c>
      <c r="H99" s="218">
        <f>H90/$K$95</f>
        <v/>
      </c>
      <c r="I99" s="218">
        <f>I90/$K$95</f>
        <v/>
      </c>
    </row>
    <row r="100">
      <c r="B100" s="77" t="inlineStr">
        <is>
          <t xml:space="preserve">APPRENTICE #2                                 </t>
        </is>
      </c>
      <c r="C100" s="218">
        <f>C91/$K$95</f>
        <v/>
      </c>
      <c r="D100" s="212">
        <f>D91/$K$95</f>
        <v/>
      </c>
      <c r="E100" s="201" t="n"/>
      <c r="F100" s="218">
        <f>F91/$K$95</f>
        <v/>
      </c>
      <c r="G100" s="218">
        <f>G91/$K$95</f>
        <v/>
      </c>
      <c r="H100" s="218">
        <f>H91/$K$95</f>
        <v/>
      </c>
      <c r="I100" s="218">
        <f>I91/$K$95</f>
        <v/>
      </c>
    </row>
    <row r="101">
      <c r="B101" s="77" t="inlineStr">
        <is>
          <t xml:space="preserve">APPRENTICE #1                                 </t>
        </is>
      </c>
      <c r="C101" s="218">
        <f>C92/$K$95</f>
        <v/>
      </c>
      <c r="D101" s="212">
        <f>D92/$K$95</f>
        <v/>
      </c>
      <c r="E101" s="201" t="n"/>
      <c r="F101" s="218">
        <f>F92/$K$95</f>
        <v/>
      </c>
      <c r="G101" s="218">
        <f>G92/$K$95</f>
        <v/>
      </c>
      <c r="H101" s="218">
        <f>H92/$K$95</f>
        <v/>
      </c>
      <c r="I101" s="218">
        <f>I92/$K$95</f>
        <v/>
      </c>
    </row>
    <row r="102">
      <c r="D102" s="221" t="n"/>
    </row>
    <row r="103">
      <c r="D103" s="221" t="n"/>
    </row>
    <row r="104">
      <c r="B104" s="27" t="inlineStr">
        <is>
          <t>Bonding</t>
        </is>
      </c>
      <c r="C104" s="27" t="inlineStr">
        <is>
          <t>rate/Moths</t>
        </is>
      </c>
    </row>
    <row r="105">
      <c r="B105" s="27" t="inlineStr">
        <is>
          <t>First $2.5M</t>
        </is>
      </c>
      <c r="C105" s="27" t="n">
        <v>8.699999999999999</v>
      </c>
      <c r="G105" s="221" t="n">
        <v>2500000</v>
      </c>
      <c r="I105" s="211">
        <f>G105/1000*C105</f>
        <v/>
      </c>
    </row>
    <row r="106">
      <c r="B106" s="27" t="inlineStr">
        <is>
          <t>Second $2.5M</t>
        </is>
      </c>
      <c r="C106" s="27" t="n">
        <v>7.9</v>
      </c>
      <c r="G106" s="221" t="n">
        <v>2500000</v>
      </c>
      <c r="I106" s="211">
        <f>G106/1000*C106</f>
        <v/>
      </c>
    </row>
    <row r="107">
      <c r="B107" s="27" t="inlineStr">
        <is>
          <t>Third $2.5M</t>
        </is>
      </c>
      <c r="C107" s="27" t="n">
        <v>6.95</v>
      </c>
      <c r="G107" s="221" t="n">
        <v>2500000</v>
      </c>
      <c r="I107" s="211">
        <f>G107/1000*C107</f>
        <v/>
      </c>
    </row>
    <row r="108">
      <c r="B108" s="27" t="inlineStr">
        <is>
          <t>Subtotal</t>
        </is>
      </c>
      <c r="I108" s="211">
        <f>I105+I106+I107</f>
        <v/>
      </c>
    </row>
    <row r="109">
      <c r="B109" s="27" t="inlineStr">
        <is>
          <t>after 24 months</t>
        </is>
      </c>
      <c r="C109" s="27" t="n">
        <v>12</v>
      </c>
      <c r="I109" s="211">
        <f>I108*C109*0.01</f>
        <v/>
      </c>
    </row>
    <row r="110">
      <c r="B110" s="27" t="inlineStr">
        <is>
          <t>Grand Total for Bond</t>
        </is>
      </c>
      <c r="I110" s="211">
        <f>I108+I109</f>
        <v/>
      </c>
    </row>
    <row r="111">
      <c r="B111" s="27" t="inlineStr">
        <is>
          <t>Sell Price</t>
        </is>
      </c>
      <c r="I111" s="211">
        <f>I110/0.9</f>
        <v/>
      </c>
    </row>
    <row r="114">
      <c r="F114" s="21" t="n"/>
      <c r="G114" s="21" t="n"/>
    </row>
    <row r="115">
      <c r="F115" s="21" t="n"/>
      <c r="G115" s="77" t="n"/>
    </row>
    <row r="116">
      <c r="F116" s="21" t="n"/>
      <c r="G116" s="77" t="n"/>
    </row>
    <row r="117">
      <c r="F117" s="21" t="n"/>
      <c r="G117" s="77" t="n"/>
    </row>
    <row r="118">
      <c r="F118" s="21" t="n"/>
      <c r="G118" s="77" t="n"/>
    </row>
    <row r="119">
      <c r="F119" s="21" t="n"/>
      <c r="G119" s="77" t="n"/>
    </row>
  </sheetData>
  <mergeCells count="249">
    <mergeCell ref="A69:O69"/>
    <mergeCell ref="K49:L49"/>
    <mergeCell ref="M43:N43"/>
    <mergeCell ref="D100:E100"/>
    <mergeCell ref="M59:N59"/>
    <mergeCell ref="K33:L33"/>
    <mergeCell ref="A75:O75"/>
    <mergeCell ref="A68:P68"/>
    <mergeCell ref="K35:L35"/>
    <mergeCell ref="E51:F51"/>
    <mergeCell ref="M60:N60"/>
    <mergeCell ref="M35:N35"/>
    <mergeCell ref="D86:E86"/>
    <mergeCell ref="C54:D54"/>
    <mergeCell ref="M54:N54"/>
    <mergeCell ref="K50:L50"/>
    <mergeCell ref="C41:D41"/>
    <mergeCell ref="G57:H57"/>
    <mergeCell ref="C50:D50"/>
    <mergeCell ref="I4:N4"/>
    <mergeCell ref="C56:D56"/>
    <mergeCell ref="I58:J58"/>
    <mergeCell ref="K58:L58"/>
    <mergeCell ref="E34:F34"/>
    <mergeCell ref="C43:D43"/>
    <mergeCell ref="K52:L52"/>
    <mergeCell ref="G34:H34"/>
    <mergeCell ref="M29:N29"/>
    <mergeCell ref="A26:E26"/>
    <mergeCell ref="I42:J42"/>
    <mergeCell ref="E49:F49"/>
    <mergeCell ref="K42:L42"/>
    <mergeCell ref="G58:H58"/>
    <mergeCell ref="M33:N33"/>
    <mergeCell ref="M45:N45"/>
    <mergeCell ref="I52:J52"/>
    <mergeCell ref="A67:O67"/>
    <mergeCell ref="I44:J44"/>
    <mergeCell ref="K53:L53"/>
    <mergeCell ref="A73:O73"/>
    <mergeCell ref="M47:N47"/>
    <mergeCell ref="D98:E98"/>
    <mergeCell ref="K28:L28"/>
    <mergeCell ref="C28:D28"/>
    <mergeCell ref="E53:F53"/>
    <mergeCell ref="M50:N50"/>
    <mergeCell ref="G44:H44"/>
    <mergeCell ref="D88:E88"/>
    <mergeCell ref="I30:J30"/>
    <mergeCell ref="G59:H59"/>
    <mergeCell ref="K30:L30"/>
    <mergeCell ref="C30:D30"/>
    <mergeCell ref="E55:F55"/>
    <mergeCell ref="I46:J46"/>
    <mergeCell ref="D90:E90"/>
    <mergeCell ref="M44:N44"/>
    <mergeCell ref="D99:E99"/>
    <mergeCell ref="C45:D45"/>
    <mergeCell ref="O4:O5"/>
    <mergeCell ref="G61:H61"/>
    <mergeCell ref="I61:J61"/>
    <mergeCell ref="E48:F48"/>
    <mergeCell ref="K55:L55"/>
    <mergeCell ref="G48:H48"/>
    <mergeCell ref="I57:J57"/>
    <mergeCell ref="D101:E101"/>
    <mergeCell ref="K51:L51"/>
    <mergeCell ref="C47:D47"/>
    <mergeCell ref="M51:N51"/>
    <mergeCell ref="I54:J54"/>
    <mergeCell ref="I14:K14"/>
    <mergeCell ref="G38:H38"/>
    <mergeCell ref="I32:J32"/>
    <mergeCell ref="E38:F38"/>
    <mergeCell ref="K32:L32"/>
    <mergeCell ref="I41:J41"/>
    <mergeCell ref="K41:L41"/>
    <mergeCell ref="C40:D40"/>
    <mergeCell ref="E40:F40"/>
    <mergeCell ref="A62:O62"/>
    <mergeCell ref="I56:J56"/>
    <mergeCell ref="K56:L56"/>
    <mergeCell ref="G49:H49"/>
    <mergeCell ref="I43:J43"/>
    <mergeCell ref="K43:L43"/>
    <mergeCell ref="C60:D60"/>
    <mergeCell ref="G33:H33"/>
    <mergeCell ref="D103:E103"/>
    <mergeCell ref="I33:J33"/>
    <mergeCell ref="M41:N41"/>
    <mergeCell ref="A14:E14"/>
    <mergeCell ref="G25:G26"/>
    <mergeCell ref="G35:H35"/>
    <mergeCell ref="I35:J35"/>
    <mergeCell ref="A37:P37"/>
    <mergeCell ref="C57:D57"/>
    <mergeCell ref="D89:E89"/>
    <mergeCell ref="I59:J59"/>
    <mergeCell ref="C4:H4"/>
    <mergeCell ref="G60:H60"/>
    <mergeCell ref="C53:D53"/>
    <mergeCell ref="M53:N53"/>
    <mergeCell ref="E58:F58"/>
    <mergeCell ref="I60:J60"/>
    <mergeCell ref="E50:F50"/>
    <mergeCell ref="C34:D34"/>
    <mergeCell ref="M34:N34"/>
    <mergeCell ref="M55:N55"/>
    <mergeCell ref="G42:H42"/>
    <mergeCell ref="A1:P2"/>
    <mergeCell ref="C58:D58"/>
    <mergeCell ref="M52:N52"/>
    <mergeCell ref="I45:J45"/>
    <mergeCell ref="E52:F52"/>
    <mergeCell ref="M49:N49"/>
    <mergeCell ref="K45:L45"/>
    <mergeCell ref="A74:O74"/>
    <mergeCell ref="M39:N39"/>
    <mergeCell ref="K54:L54"/>
    <mergeCell ref="D96:E96"/>
    <mergeCell ref="M48:N48"/>
    <mergeCell ref="E39:F39"/>
    <mergeCell ref="E44:F44"/>
    <mergeCell ref="G39:H39"/>
    <mergeCell ref="K60:L60"/>
    <mergeCell ref="K29:L29"/>
    <mergeCell ref="C29:D29"/>
    <mergeCell ref="I47:J47"/>
    <mergeCell ref="E29:F29"/>
    <mergeCell ref="K47:L47"/>
    <mergeCell ref="A25:E25"/>
    <mergeCell ref="M25:M26"/>
    <mergeCell ref="O25:O26"/>
    <mergeCell ref="K44:L44"/>
    <mergeCell ref="C44:D44"/>
    <mergeCell ref="K31:L31"/>
    <mergeCell ref="K46:L46"/>
    <mergeCell ref="C31:D31"/>
    <mergeCell ref="K40:L40"/>
    <mergeCell ref="M31:N31"/>
    <mergeCell ref="E31:F31"/>
    <mergeCell ref="M40:N40"/>
    <mergeCell ref="D91:E91"/>
    <mergeCell ref="C59:D59"/>
    <mergeCell ref="E59:F59"/>
    <mergeCell ref="C46:D46"/>
    <mergeCell ref="E46:F46"/>
    <mergeCell ref="A4:A5"/>
    <mergeCell ref="C51:D51"/>
    <mergeCell ref="A6:P6"/>
    <mergeCell ref="D93:E93"/>
    <mergeCell ref="C61:D61"/>
    <mergeCell ref="E61:F61"/>
    <mergeCell ref="D102:E102"/>
    <mergeCell ref="A16:P16"/>
    <mergeCell ref="C48:D48"/>
    <mergeCell ref="E57:F57"/>
    <mergeCell ref="G51:H51"/>
    <mergeCell ref="D92:E92"/>
    <mergeCell ref="I51:J51"/>
    <mergeCell ref="B4:B5"/>
    <mergeCell ref="E54:F54"/>
    <mergeCell ref="A66:P66"/>
    <mergeCell ref="C38:D38"/>
    <mergeCell ref="G54:H54"/>
    <mergeCell ref="C32:D32"/>
    <mergeCell ref="E32:F32"/>
    <mergeCell ref="E41:F41"/>
    <mergeCell ref="A36:O36"/>
    <mergeCell ref="M38:N38"/>
    <mergeCell ref="G41:H41"/>
    <mergeCell ref="G32:H32"/>
    <mergeCell ref="K57:L57"/>
    <mergeCell ref="G50:H50"/>
    <mergeCell ref="G106:H106"/>
    <mergeCell ref="D85:E85"/>
    <mergeCell ref="I50:J50"/>
    <mergeCell ref="A3:P3"/>
    <mergeCell ref="D94:E94"/>
    <mergeCell ref="P4:P5"/>
    <mergeCell ref="E56:F56"/>
    <mergeCell ref="G56:H56"/>
    <mergeCell ref="M58:N58"/>
    <mergeCell ref="C49:D49"/>
    <mergeCell ref="E43:F43"/>
    <mergeCell ref="G105:H105"/>
    <mergeCell ref="I34:J34"/>
    <mergeCell ref="A65:O65"/>
    <mergeCell ref="G43:H43"/>
    <mergeCell ref="K34:L34"/>
    <mergeCell ref="G52:H52"/>
    <mergeCell ref="C33:D33"/>
    <mergeCell ref="E33:F33"/>
    <mergeCell ref="C42:D42"/>
    <mergeCell ref="I49:J49"/>
    <mergeCell ref="E42:F42"/>
    <mergeCell ref="G107:H107"/>
    <mergeCell ref="A72:P72"/>
    <mergeCell ref="C35:D35"/>
    <mergeCell ref="E35:F35"/>
    <mergeCell ref="D95:E95"/>
    <mergeCell ref="A71:O71"/>
    <mergeCell ref="C55:D55"/>
    <mergeCell ref="E28:F28"/>
    <mergeCell ref="G53:H53"/>
    <mergeCell ref="G28:H28"/>
    <mergeCell ref="I53:J53"/>
    <mergeCell ref="I28:J28"/>
    <mergeCell ref="D97:E97"/>
    <mergeCell ref="E60:F60"/>
    <mergeCell ref="A15:P15"/>
    <mergeCell ref="M30:N30"/>
    <mergeCell ref="K59:L59"/>
    <mergeCell ref="D87:E87"/>
    <mergeCell ref="E30:F30"/>
    <mergeCell ref="G30:H30"/>
    <mergeCell ref="I55:J55"/>
    <mergeCell ref="A70:P70"/>
    <mergeCell ref="M46:N46"/>
    <mergeCell ref="M28:N28"/>
    <mergeCell ref="E45:F45"/>
    <mergeCell ref="M42:N42"/>
    <mergeCell ref="I25:K26"/>
    <mergeCell ref="G45:H45"/>
    <mergeCell ref="C52:D52"/>
    <mergeCell ref="K61:L61"/>
    <mergeCell ref="I39:J39"/>
    <mergeCell ref="K39:L39"/>
    <mergeCell ref="M61:N61"/>
    <mergeCell ref="I48:J48"/>
    <mergeCell ref="C39:D39"/>
    <mergeCell ref="K48:L48"/>
    <mergeCell ref="G55:H55"/>
    <mergeCell ref="G29:H29"/>
    <mergeCell ref="A63:P64"/>
    <mergeCell ref="M57:N57"/>
    <mergeCell ref="I29:J29"/>
    <mergeCell ref="I38:J38"/>
    <mergeCell ref="G47:H47"/>
    <mergeCell ref="K38:L38"/>
    <mergeCell ref="M32:N32"/>
    <mergeCell ref="A27:P27"/>
    <mergeCell ref="G31:H31"/>
    <mergeCell ref="G46:H46"/>
    <mergeCell ref="I31:J31"/>
    <mergeCell ref="G40:H40"/>
    <mergeCell ref="I40:J40"/>
    <mergeCell ref="E47:F47"/>
    <mergeCell ref="M56:N56"/>
  </mergeCells>
  <dataValidations disablePrompts="1" count="1">
    <dataValidation sqref="K95 O7:O13 O17:O24 O29:O35 O39:O61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portrait" paperSize="17" scale="72" fitToHeight="0" horizontalDpi="300" verticalDpi="300"/>
  <colBreaks count="1" manualBreakCount="1">
    <brk id="16" min="0" max="83" man="1"/>
  </col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9"/>
  <sheetViews>
    <sheetView zoomScale="80" zoomScaleNormal="80" workbookViewId="0">
      <selection activeCell="A1" sqref="A1:P2"/>
    </sheetView>
  </sheetViews>
  <sheetFormatPr baseColWidth="8" defaultColWidth="9.140625" defaultRowHeight="15.75"/>
  <cols>
    <col width="9.140625" customWidth="1" style="27" min="1" max="1"/>
    <col width="44.85546875" customWidth="1" style="27" min="2" max="2"/>
    <col width="14.140625" customWidth="1" style="27" min="3" max="3"/>
    <col width="7.28515625" customWidth="1" style="27" min="4" max="4"/>
    <col width="9.42578125" customWidth="1" style="27" min="5" max="5"/>
    <col width="15.7109375" customWidth="1" style="27" min="6" max="6"/>
    <col width="19.140625" customWidth="1" style="27" min="7" max="7"/>
    <col width="15.28515625" customWidth="1" style="27" min="8" max="14"/>
    <col width="14.85546875" customWidth="1" style="27" min="15" max="15"/>
    <col width="22" customWidth="1" style="27" min="16" max="16"/>
    <col width="9.140625" customWidth="1" style="27" min="17" max="17"/>
    <col width="12.42578125" bestFit="1" customWidth="1" style="27" min="18" max="18"/>
    <col width="11.42578125" customWidth="1" style="27" min="19" max="19"/>
    <col width="15.5703125" bestFit="1" customWidth="1" style="27" min="20" max="20"/>
    <col width="12.85546875" customWidth="1" style="27" min="21" max="21"/>
    <col width="13.85546875" customWidth="1" style="27" min="22" max="22"/>
    <col width="11.85546875" customWidth="1" style="27" min="23" max="23"/>
    <col width="9.140625" customWidth="1" style="27" min="24" max="16384"/>
  </cols>
  <sheetData>
    <row r="1" ht="23.25" customHeight="1">
      <c r="A1" s="192">
        <f t="array" ref="A1">MID(CELL("filename",C1),FIND("]",CELL("filename",C1))+1,255)</f>
        <v/>
      </c>
      <c r="B1" s="193" t="n"/>
      <c r="C1" s="193" t="n"/>
      <c r="D1" s="193" t="n"/>
      <c r="E1" s="193" t="n"/>
      <c r="F1" s="193" t="n"/>
      <c r="G1" s="193" t="n"/>
      <c r="H1" s="193" t="n"/>
      <c r="I1" s="193" t="n"/>
      <c r="J1" s="193" t="n"/>
      <c r="K1" s="193" t="n"/>
      <c r="L1" s="193" t="n"/>
      <c r="M1" s="193" t="n"/>
      <c r="N1" s="193" t="n"/>
      <c r="O1" s="193" t="n"/>
      <c r="P1" s="194" t="n"/>
      <c r="R1" s="27">
        <f t="array" ref="R1">MID(CELL("filename",C1),FIND("]",CELL("filename",C1))+1,255)</f>
        <v/>
      </c>
    </row>
    <row r="2" ht="19.5" customHeight="1" thickBot="1">
      <c r="A2" s="195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7" t="n"/>
    </row>
    <row r="3" ht="19.5" customHeight="1" thickBot="1">
      <c r="A3" s="150" t="inlineStr">
        <is>
          <t>AINSWORTH LABOUR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9" t="n"/>
    </row>
    <row r="4" ht="19.5" customHeight="1" thickBot="1">
      <c r="A4" s="35" t="inlineStr">
        <is>
          <t>Item</t>
        </is>
      </c>
      <c r="B4" s="35" t="inlineStr">
        <is>
          <t>Task</t>
        </is>
      </c>
      <c r="C4" s="35" t="inlineStr">
        <is>
          <t>Regular Labour Rates</t>
        </is>
      </c>
      <c r="D4" s="198" t="n"/>
      <c r="E4" s="198" t="n"/>
      <c r="F4" s="198" t="n"/>
      <c r="G4" s="198" t="n"/>
      <c r="H4" s="199" t="n"/>
      <c r="I4" s="37" t="inlineStr">
        <is>
          <t>Premium Labour Rates</t>
        </is>
      </c>
      <c r="J4" s="198" t="n"/>
      <c r="K4" s="198" t="n"/>
      <c r="L4" s="198" t="n"/>
      <c r="M4" s="198" t="n"/>
      <c r="N4" s="199" t="n"/>
      <c r="O4" s="35" t="inlineStr">
        <is>
          <t>Margin</t>
        </is>
      </c>
      <c r="P4" s="222" t="inlineStr">
        <is>
          <t>Subtotal 3 - Sell Rate</t>
        </is>
      </c>
    </row>
    <row r="5" ht="57" customHeight="1" thickBot="1">
      <c r="A5" s="223" t="n"/>
      <c r="B5" s="223" t="n"/>
      <c r="C5" s="35" t="inlineStr">
        <is>
          <t># of techs</t>
        </is>
      </c>
      <c r="D5" s="35" t="inlineStr">
        <is>
          <t>Days/Units</t>
        </is>
      </c>
      <c r="E5" s="35" t="inlineStr">
        <is>
          <t>Regular Hours</t>
        </is>
      </c>
      <c r="F5" s="35" t="inlineStr">
        <is>
          <t>Total Regular Hours</t>
        </is>
      </c>
      <c r="G5" s="36" t="inlineStr">
        <is>
          <t>Regular Labour Rate</t>
        </is>
      </c>
      <c r="H5" s="36" t="inlineStr">
        <is>
          <t>Subtotal 1</t>
        </is>
      </c>
      <c r="I5" s="37" t="inlineStr">
        <is>
          <t># of techs</t>
        </is>
      </c>
      <c r="J5" s="37" t="inlineStr">
        <is>
          <t>Days/Units</t>
        </is>
      </c>
      <c r="K5" s="37" t="inlineStr">
        <is>
          <t>O/T Hours</t>
        </is>
      </c>
      <c r="L5" s="37" t="inlineStr">
        <is>
          <t>Total O/T Hours</t>
        </is>
      </c>
      <c r="M5" s="38" t="inlineStr">
        <is>
          <t>O/T Labour Rate</t>
        </is>
      </c>
      <c r="N5" s="37" t="inlineStr">
        <is>
          <t>Subtotal 2</t>
        </is>
      </c>
      <c r="O5" s="223" t="n"/>
      <c r="P5" s="223" t="n"/>
    </row>
    <row r="6" ht="34.5" customHeight="1" thickBot="1">
      <c r="A6" s="150" t="inlineStr">
        <is>
          <t>Project Management</t>
        </is>
      </c>
      <c r="B6" s="198" t="n"/>
      <c r="C6" s="198" t="n"/>
      <c r="D6" s="198" t="n"/>
      <c r="E6" s="198" t="n"/>
      <c r="F6" s="198" t="n"/>
      <c r="G6" s="198" t="n"/>
      <c r="H6" s="198" t="n"/>
      <c r="I6" s="198" t="n"/>
      <c r="J6" s="198" t="n"/>
      <c r="K6" s="198" t="n"/>
      <c r="L6" s="198" t="n"/>
      <c r="M6" s="198" t="n"/>
      <c r="N6" s="198" t="n"/>
      <c r="O6" s="198" t="n"/>
      <c r="P6" s="199" t="n"/>
      <c r="T6" s="211">
        <f>(P25+P36+P62)*0.05</f>
        <v/>
      </c>
    </row>
    <row r="7" ht="16.5" customHeight="1" thickTop="1">
      <c r="A7" s="156" t="n">
        <v>1</v>
      </c>
      <c r="B7" s="24" t="inlineStr">
        <is>
          <t>Engineering/Meetings</t>
        </is>
      </c>
      <c r="C7" s="13" t="n">
        <v>0</v>
      </c>
      <c r="D7" s="13" t="n">
        <v>0</v>
      </c>
      <c r="E7" s="13" t="n"/>
      <c r="F7" s="13">
        <f>C7*D7*E7</f>
        <v/>
      </c>
      <c r="G7" s="39" t="n">
        <v>90</v>
      </c>
      <c r="H7" s="40">
        <f>F7*G7</f>
        <v/>
      </c>
      <c r="I7" s="41" t="n"/>
      <c r="J7" s="42" t="n"/>
      <c r="K7" s="42" t="n"/>
      <c r="L7" s="42">
        <f>I7*J7*K7</f>
        <v/>
      </c>
      <c r="M7" s="43" t="n">
        <v>150</v>
      </c>
      <c r="N7" s="44">
        <f>L7*M7</f>
        <v/>
      </c>
      <c r="O7" s="5" t="n">
        <v>0.85</v>
      </c>
      <c r="P7" s="45">
        <f>H7/O7+N7/O7</f>
        <v/>
      </c>
      <c r="R7" s="29" t="n"/>
    </row>
    <row r="8">
      <c r="A8" s="156" t="n">
        <v>2</v>
      </c>
      <c r="B8" s="4" t="inlineStr">
        <is>
          <t>Project Management</t>
        </is>
      </c>
      <c r="C8" s="13" t="n">
        <v>0.05</v>
      </c>
      <c r="D8" s="13" t="n">
        <v>1</v>
      </c>
      <c r="E8" s="13" t="n">
        <v>1</v>
      </c>
      <c r="F8" s="13">
        <f>C8*D8*E8</f>
        <v/>
      </c>
      <c r="G8" s="39">
        <f>(P25+P36+P62)</f>
        <v/>
      </c>
      <c r="H8" s="46">
        <f>F8*G8</f>
        <v/>
      </c>
      <c r="I8" s="47" t="n"/>
      <c r="J8" s="48" t="n"/>
      <c r="K8" s="48" t="n"/>
      <c r="L8" s="48">
        <f>I8*J8*K8</f>
        <v/>
      </c>
      <c r="M8" s="39" t="n">
        <v>150</v>
      </c>
      <c r="N8" s="46">
        <f>L8*M8</f>
        <v/>
      </c>
      <c r="O8" s="5" t="n">
        <v>0.85</v>
      </c>
      <c r="P8" s="49">
        <f>H8/O8+N8/O8</f>
        <v/>
      </c>
    </row>
    <row r="9">
      <c r="A9" s="156" t="n">
        <v>3</v>
      </c>
      <c r="B9" s="4" t="inlineStr">
        <is>
          <t>ESA Submissions</t>
        </is>
      </c>
      <c r="C9" s="13" t="n"/>
      <c r="D9" s="13" t="n"/>
      <c r="E9" s="13" t="n"/>
      <c r="F9" s="13">
        <f>C9*D9*E9</f>
        <v/>
      </c>
      <c r="G9" s="39" t="n">
        <v>2000</v>
      </c>
      <c r="H9" s="46">
        <f>F9*G9</f>
        <v/>
      </c>
      <c r="I9" s="47" t="n"/>
      <c r="J9" s="48" t="n"/>
      <c r="K9" s="48" t="n"/>
      <c r="L9" s="48">
        <f>I9*J9*K9</f>
        <v/>
      </c>
      <c r="M9" s="39" t="n">
        <v>0</v>
      </c>
      <c r="N9" s="46">
        <f>L9*M9</f>
        <v/>
      </c>
      <c r="O9" s="5" t="n">
        <v>0.85</v>
      </c>
      <c r="P9" s="50">
        <f>H9/O9+N9/O9</f>
        <v/>
      </c>
    </row>
    <row r="10">
      <c r="A10" s="156" t="n">
        <v>4</v>
      </c>
      <c r="B10" s="4" t="inlineStr">
        <is>
          <t>Misc. Subcontractors</t>
        </is>
      </c>
      <c r="C10" s="13" t="n">
        <v>0.05</v>
      </c>
      <c r="D10" s="13" t="n">
        <v>1</v>
      </c>
      <c r="E10" s="13" t="n">
        <v>1</v>
      </c>
      <c r="F10" s="13">
        <f>C10*D10*E10</f>
        <v/>
      </c>
      <c r="G10" s="39">
        <f>P36</f>
        <v/>
      </c>
      <c r="H10" s="46">
        <f>F10*G10</f>
        <v/>
      </c>
      <c r="I10" s="47" t="n"/>
      <c r="J10" s="48" t="n"/>
      <c r="K10" s="48" t="n"/>
      <c r="L10" s="48">
        <f>I10*J10*K10</f>
        <v/>
      </c>
      <c r="M10" s="39" t="n">
        <v>150</v>
      </c>
      <c r="N10" s="46">
        <f>L10*M10</f>
        <v/>
      </c>
      <c r="O10" s="5" t="n">
        <v>0.85</v>
      </c>
      <c r="P10" s="50">
        <f>H10/O10+N10/O10</f>
        <v/>
      </c>
    </row>
    <row r="11">
      <c r="A11" s="156" t="n">
        <v>5</v>
      </c>
      <c r="B11" s="4" t="inlineStr">
        <is>
          <t>Misc. Materials</t>
        </is>
      </c>
      <c r="C11" s="13" t="n">
        <v>0.05</v>
      </c>
      <c r="D11" s="13" t="n">
        <v>1</v>
      </c>
      <c r="E11" s="13" t="n">
        <v>1</v>
      </c>
      <c r="F11" s="13">
        <f>C11*D11*E11</f>
        <v/>
      </c>
      <c r="G11" s="39">
        <f>P62</f>
        <v/>
      </c>
      <c r="H11" s="46">
        <f>F11*G11</f>
        <v/>
      </c>
      <c r="I11" s="47" t="n"/>
      <c r="J11" s="48" t="n"/>
      <c r="K11" s="48" t="n"/>
      <c r="L11" s="48">
        <f>I11*J11*K11</f>
        <v/>
      </c>
      <c r="M11" s="39" t="n">
        <v>150</v>
      </c>
      <c r="N11" s="46">
        <f>L11*M11</f>
        <v/>
      </c>
      <c r="O11" s="5" t="n">
        <v>0.85</v>
      </c>
      <c r="P11" s="50">
        <f>H11/O11+N11/O11</f>
        <v/>
      </c>
    </row>
    <row r="12">
      <c r="A12" s="156" t="n">
        <v>6</v>
      </c>
      <c r="B12" s="4" t="inlineStr">
        <is>
          <t>Forman - site supervision and civil</t>
        </is>
      </c>
      <c r="C12" s="13" t="n"/>
      <c r="D12" s="13" t="n"/>
      <c r="E12" s="13" t="n"/>
      <c r="F12" s="13">
        <f>C12*D12*E12</f>
        <v/>
      </c>
      <c r="G12" s="39" t="n">
        <v>92</v>
      </c>
      <c r="H12" s="46">
        <f>F12*G12</f>
        <v/>
      </c>
      <c r="I12" s="47" t="n"/>
      <c r="J12" s="48" t="n"/>
      <c r="K12" s="48" t="n"/>
      <c r="L12" s="48">
        <f>I12*J12*K12</f>
        <v/>
      </c>
      <c r="M12" s="39" t="n">
        <v>150</v>
      </c>
      <c r="N12" s="46">
        <f>L12*M12</f>
        <v/>
      </c>
      <c r="O12" s="5" t="n">
        <v>0.85</v>
      </c>
      <c r="P12" s="50">
        <f>H12/O12+N12/O12</f>
        <v/>
      </c>
    </row>
    <row r="13">
      <c r="A13" s="156" t="n">
        <v>7</v>
      </c>
      <c r="B13" s="4" t="inlineStr">
        <is>
          <t>Lodging</t>
        </is>
      </c>
      <c r="C13" s="13" t="n">
        <v>1</v>
      </c>
      <c r="D13" s="13" t="n">
        <v>1</v>
      </c>
      <c r="E13" s="13" t="n">
        <v>1</v>
      </c>
      <c r="F13" s="13">
        <f>C13*D13*E13</f>
        <v/>
      </c>
      <c r="G13" s="39" t="n">
        <v>0</v>
      </c>
      <c r="H13" s="46">
        <f>F13*G13</f>
        <v/>
      </c>
      <c r="I13" s="47" t="n"/>
      <c r="J13" s="48" t="n"/>
      <c r="K13" s="48" t="n"/>
      <c r="L13" s="48">
        <f>I13*J13*K13</f>
        <v/>
      </c>
      <c r="M13" s="39" t="n">
        <v>175</v>
      </c>
      <c r="N13" s="46">
        <f>L13*M13</f>
        <v/>
      </c>
      <c r="O13" s="5" t="n">
        <v>0.85</v>
      </c>
      <c r="P13" s="50">
        <f>H13/O13+N13/O13</f>
        <v/>
      </c>
    </row>
    <row r="14" ht="15.75" customFormat="1" customHeight="1" s="21" thickBot="1">
      <c r="A14" s="151" t="inlineStr">
        <is>
          <t>Total Management</t>
        </is>
      </c>
      <c r="B14" s="200" t="n"/>
      <c r="C14" s="200" t="n"/>
      <c r="D14" s="200" t="n"/>
      <c r="E14" s="201" t="n"/>
      <c r="F14" s="8">
        <f>SUM(F7:F13)</f>
        <v/>
      </c>
      <c r="G14" s="8" t="n"/>
      <c r="H14" s="51">
        <f>SUM(H7:H13)</f>
        <v/>
      </c>
      <c r="I14" s="224" t="n"/>
      <c r="J14" s="225" t="n"/>
      <c r="K14" s="226" t="n"/>
      <c r="L14" s="52">
        <f>SUM(L7:L13)</f>
        <v/>
      </c>
      <c r="M14" s="53" t="n"/>
      <c r="N14" s="54">
        <f>SUM(N7:N13)</f>
        <v/>
      </c>
      <c r="O14" s="55" t="n"/>
      <c r="P14" s="56">
        <f>SUM(P7:P13)</f>
        <v/>
      </c>
    </row>
    <row r="15" ht="16.5" customHeight="1" thickTop="1">
      <c r="A15" s="155" t="n"/>
      <c r="B15" s="200" t="n"/>
      <c r="C15" s="200" t="n"/>
      <c r="D15" s="200" t="n"/>
      <c r="E15" s="200" t="n"/>
      <c r="F15" s="200" t="n"/>
      <c r="G15" s="200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1" t="n"/>
    </row>
    <row r="16" ht="16.5" customHeight="1" thickBot="1">
      <c r="A16" s="151" t="inlineStr">
        <is>
          <t>Labour</t>
        </is>
      </c>
      <c r="B16" s="200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0" t="n"/>
      <c r="M16" s="200" t="n"/>
      <c r="N16" s="200" t="n"/>
      <c r="O16" s="200" t="n"/>
      <c r="P16" s="201" t="n"/>
    </row>
    <row r="17" ht="16.5" customHeight="1" thickTop="1">
      <c r="A17" s="155" t="n">
        <v>1</v>
      </c>
      <c r="B17" s="31" t="inlineStr">
        <is>
          <t>Mob/demob</t>
        </is>
      </c>
      <c r="C17" s="5" t="n"/>
      <c r="D17" s="5" t="n"/>
      <c r="E17" s="5" t="n"/>
      <c r="F17" s="5">
        <f>C17*D17*E17</f>
        <v/>
      </c>
      <c r="G17" s="57" t="n">
        <v>108</v>
      </c>
      <c r="H17" s="58">
        <f>F17*G17</f>
        <v/>
      </c>
      <c r="I17" s="41" t="n"/>
      <c r="J17" s="42" t="n"/>
      <c r="K17" s="42" t="n"/>
      <c r="L17" s="42">
        <f>I17*J17*K17</f>
        <v/>
      </c>
      <c r="M17" s="43" t="n">
        <v>195</v>
      </c>
      <c r="N17" s="44">
        <f>L17*M17</f>
        <v/>
      </c>
      <c r="O17" s="5" t="n">
        <v>0.85</v>
      </c>
      <c r="P17" s="45">
        <f>H17/O17+N17/O17</f>
        <v/>
      </c>
    </row>
    <row r="18">
      <c r="A18" s="155" t="n">
        <v>2</v>
      </c>
      <c r="B18" s="31" t="inlineStr">
        <is>
          <t>install</t>
        </is>
      </c>
      <c r="C18" s="5" t="n"/>
      <c r="D18" s="5" t="n"/>
      <c r="E18" s="5" t="n"/>
      <c r="F18" s="5">
        <f>C18*D18*E18</f>
        <v/>
      </c>
      <c r="G18" s="57" t="n">
        <v>108</v>
      </c>
      <c r="H18" s="58">
        <f>F18*G18</f>
        <v/>
      </c>
      <c r="I18" s="59" t="n"/>
      <c r="J18" s="60" t="n"/>
      <c r="K18" s="60" t="n"/>
      <c r="L18" s="60">
        <f>I18*J18*K18</f>
        <v/>
      </c>
      <c r="M18" s="57" t="n">
        <v>195</v>
      </c>
      <c r="N18" s="61">
        <f>L18*M18</f>
        <v/>
      </c>
      <c r="O18" s="5" t="n">
        <v>0.85</v>
      </c>
      <c r="P18" s="49">
        <f>H18/O18+N18/O18</f>
        <v/>
      </c>
      <c r="U18" s="62" t="n"/>
    </row>
    <row r="19">
      <c r="A19" s="155" t="n">
        <v>3</v>
      </c>
      <c r="B19" s="18" t="inlineStr">
        <is>
          <t>assist</t>
        </is>
      </c>
      <c r="C19" s="5" t="n"/>
      <c r="D19" s="5" t="n"/>
      <c r="E19" s="5" t="n"/>
      <c r="F19" s="5">
        <f>C19*D19*E19</f>
        <v/>
      </c>
      <c r="G19" s="57" t="n">
        <v>108</v>
      </c>
      <c r="H19" s="58">
        <f>F19*G19</f>
        <v/>
      </c>
      <c r="I19" s="59" t="n"/>
      <c r="J19" s="60" t="n"/>
      <c r="K19" s="60" t="n"/>
      <c r="L19" s="60">
        <f>I19*J19*K19</f>
        <v/>
      </c>
      <c r="M19" s="57" t="n">
        <v>195</v>
      </c>
      <c r="N19" s="61">
        <f>L19*M19</f>
        <v/>
      </c>
      <c r="O19" s="5" t="n">
        <v>0.85</v>
      </c>
      <c r="P19" s="49">
        <f>H19/O19+N19/O19</f>
        <v/>
      </c>
      <c r="R19" s="211" t="n"/>
      <c r="U19" s="62" t="n"/>
    </row>
    <row r="20">
      <c r="A20" s="155" t="n">
        <v>4</v>
      </c>
      <c r="B20" s="18" t="n"/>
      <c r="C20" s="5" t="n"/>
      <c r="D20" s="5" t="n"/>
      <c r="E20" s="5" t="n"/>
      <c r="F20" s="5">
        <f>C20*D20*E20</f>
        <v/>
      </c>
      <c r="G20" s="57" t="n">
        <v>108</v>
      </c>
      <c r="H20" s="58">
        <f>F20*G20</f>
        <v/>
      </c>
      <c r="I20" s="59" t="n"/>
      <c r="J20" s="60" t="n"/>
      <c r="K20" s="60" t="n"/>
      <c r="L20" s="60">
        <f>I20*J20*K20</f>
        <v/>
      </c>
      <c r="M20" s="57" t="n">
        <v>195</v>
      </c>
      <c r="N20" s="61">
        <f>L20*M20</f>
        <v/>
      </c>
      <c r="O20" s="5" t="n">
        <v>0.85</v>
      </c>
      <c r="P20" s="49">
        <f>H20/O20+N20/O20</f>
        <v/>
      </c>
      <c r="U20" s="62" t="n"/>
    </row>
    <row r="21">
      <c r="A21" s="155" t="n">
        <v>5</v>
      </c>
      <c r="B21" s="18" t="n"/>
      <c r="C21" s="5" t="n"/>
      <c r="D21" s="5" t="n"/>
      <c r="E21" s="5" t="n"/>
      <c r="F21" s="5">
        <f>C21*D21*E21</f>
        <v/>
      </c>
      <c r="G21" s="57" t="n">
        <v>108</v>
      </c>
      <c r="H21" s="58">
        <f>F21*G21</f>
        <v/>
      </c>
      <c r="I21" s="59" t="n"/>
      <c r="J21" s="60" t="n"/>
      <c r="K21" s="60" t="n"/>
      <c r="L21" s="60">
        <f>I21*J21*K21</f>
        <v/>
      </c>
      <c r="M21" s="57" t="n">
        <v>195</v>
      </c>
      <c r="N21" s="61">
        <f>L21*M21</f>
        <v/>
      </c>
      <c r="O21" s="5" t="n">
        <v>0.85</v>
      </c>
      <c r="P21" s="49">
        <f>H21/O21+N21/O21</f>
        <v/>
      </c>
    </row>
    <row r="22">
      <c r="A22" s="155" t="n">
        <v>6</v>
      </c>
      <c r="B22" s="18" t="n"/>
      <c r="C22" s="5" t="n"/>
      <c r="D22" s="5" t="n"/>
      <c r="E22" s="5" t="n"/>
      <c r="F22" s="5">
        <f>C22*D22*E22</f>
        <v/>
      </c>
      <c r="G22" s="57" t="n">
        <v>108</v>
      </c>
      <c r="H22" s="58">
        <f>F22*G22</f>
        <v/>
      </c>
      <c r="I22" s="59" t="n"/>
      <c r="J22" s="60" t="n"/>
      <c r="K22" s="60" t="n"/>
      <c r="L22" s="60">
        <f>I22*J22*K22</f>
        <v/>
      </c>
      <c r="M22" s="57" t="n">
        <v>195</v>
      </c>
      <c r="N22" s="61">
        <f>L22*M22</f>
        <v/>
      </c>
      <c r="O22" s="5" t="n">
        <v>0.85</v>
      </c>
      <c r="P22" s="49">
        <f>H22/O22+N22/O22</f>
        <v/>
      </c>
    </row>
    <row r="23">
      <c r="A23" s="155" t="n">
        <v>7</v>
      </c>
      <c r="B23" s="18" t="n"/>
      <c r="C23" s="5" t="n"/>
      <c r="D23" s="5" t="n"/>
      <c r="E23" s="5" t="n"/>
      <c r="F23" s="5">
        <f>C23*D23*E23</f>
        <v/>
      </c>
      <c r="G23" s="57" t="n">
        <v>108</v>
      </c>
      <c r="H23" s="58">
        <f>F23*G23</f>
        <v/>
      </c>
      <c r="I23" s="59" t="n"/>
      <c r="J23" s="60" t="n"/>
      <c r="K23" s="60" t="n"/>
      <c r="L23" s="60">
        <f>I23*J23*K23</f>
        <v/>
      </c>
      <c r="M23" s="57" t="n">
        <v>195</v>
      </c>
      <c r="N23" s="61">
        <f>L23*M23</f>
        <v/>
      </c>
      <c r="O23" s="5" t="n">
        <v>0.85</v>
      </c>
      <c r="P23" s="49">
        <f>H23/O23+N23/O23</f>
        <v/>
      </c>
    </row>
    <row r="24">
      <c r="A24" s="155" t="n">
        <v>8</v>
      </c>
      <c r="B24" s="18" t="n"/>
      <c r="C24" s="5" t="n"/>
      <c r="D24" s="5" t="n"/>
      <c r="E24" s="5" t="n"/>
      <c r="F24" s="5">
        <f>C24*D24*E24</f>
        <v/>
      </c>
      <c r="G24" s="57" t="n">
        <v>108</v>
      </c>
      <c r="H24" s="58">
        <f>F24*G24</f>
        <v/>
      </c>
      <c r="I24" s="59" t="n"/>
      <c r="J24" s="60" t="n"/>
      <c r="K24" s="60" t="n"/>
      <c r="L24" s="60">
        <f>I24*J24*K24</f>
        <v/>
      </c>
      <c r="M24" s="57" t="n">
        <v>195</v>
      </c>
      <c r="N24" s="61">
        <f>L24*M24</f>
        <v/>
      </c>
      <c r="O24" s="5" t="n">
        <v>0.85</v>
      </c>
      <c r="P24" s="49">
        <f>H24/O24+N24/O24</f>
        <v/>
      </c>
    </row>
    <row r="25" ht="15.75" customHeight="1">
      <c r="A25" s="151" t="inlineStr">
        <is>
          <t>Sub Total Labour</t>
        </is>
      </c>
      <c r="B25" s="200" t="n"/>
      <c r="C25" s="200" t="n"/>
      <c r="D25" s="200" t="n"/>
      <c r="E25" s="201" t="n"/>
      <c r="F25" s="8">
        <f>SUM(F17:F24)</f>
        <v/>
      </c>
      <c r="G25" s="8" t="n"/>
      <c r="H25" s="64">
        <f>SUM(H17:H24)</f>
        <v/>
      </c>
      <c r="I25" s="227" t="n"/>
      <c r="J25" s="202" t="n"/>
      <c r="K25" s="203" t="n"/>
      <c r="L25" s="65">
        <f>SUM(L17:L24)</f>
        <v/>
      </c>
      <c r="M25" s="53" t="n"/>
      <c r="N25" s="66">
        <f>SUM(N17:N24)</f>
        <v/>
      </c>
      <c r="O25" s="228" t="n"/>
      <c r="P25" s="67">
        <f>SUM(P17:P24)</f>
        <v/>
      </c>
      <c r="S25" s="22" t="n"/>
      <c r="T25" s="22" t="n"/>
    </row>
    <row r="26" ht="15.75" customFormat="1" customHeight="1" s="21" thickBot="1">
      <c r="A26" s="151" t="inlineStr">
        <is>
          <t>Subtotal Labour</t>
        </is>
      </c>
      <c r="B26" s="200" t="n"/>
      <c r="C26" s="200" t="n"/>
      <c r="D26" s="200" t="n"/>
      <c r="E26" s="201" t="n"/>
      <c r="F26" s="8">
        <f>F14+F25</f>
        <v/>
      </c>
      <c r="G26" s="229" t="n"/>
      <c r="H26" s="64">
        <f>H14+H25</f>
        <v/>
      </c>
      <c r="I26" s="230" t="n"/>
      <c r="J26" s="231" t="n"/>
      <c r="K26" s="232" t="n"/>
      <c r="L26" s="52">
        <f>L14+L25</f>
        <v/>
      </c>
      <c r="M26" s="233" t="n"/>
      <c r="N26" s="68">
        <f>N14+N25</f>
        <v/>
      </c>
      <c r="O26" s="205" t="n"/>
      <c r="P26" s="56">
        <f>P14+P25</f>
        <v/>
      </c>
      <c r="S26" s="22" t="n"/>
      <c r="T26" s="22" t="n"/>
    </row>
    <row r="27" ht="34.5" customFormat="1" customHeight="1" s="21" thickBot="1" thickTop="1">
      <c r="A27" s="147" t="inlineStr">
        <is>
          <t>Subcontractors</t>
        </is>
      </c>
      <c r="B27" s="202" t="n"/>
      <c r="C27" s="202" t="n"/>
      <c r="D27" s="202" t="n"/>
      <c r="E27" s="202" t="n"/>
      <c r="F27" s="202" t="n"/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S27" s="22" t="n"/>
      <c r="T27" s="22" t="n"/>
      <c r="U27" s="22" t="n"/>
      <c r="V27" s="22" t="n"/>
      <c r="W27" s="22" t="n"/>
    </row>
    <row r="28" ht="19.5" customFormat="1" customHeight="1" s="21" thickBot="1">
      <c r="A28" s="69" t="inlineStr">
        <is>
          <t>Item</t>
        </is>
      </c>
      <c r="B28" s="69" t="inlineStr">
        <is>
          <t>Task</t>
        </is>
      </c>
      <c r="C28" s="35" t="inlineStr">
        <is>
          <t>Surcharge</t>
        </is>
      </c>
      <c r="D28" s="199" t="n"/>
      <c r="E28" s="35" t="inlineStr">
        <is>
          <t>Days/Units</t>
        </is>
      </c>
      <c r="F28" s="199" t="n"/>
      <c r="G28" s="36" t="inlineStr">
        <is>
          <t>Other</t>
        </is>
      </c>
      <c r="H28" s="199" t="n"/>
      <c r="I28" s="36" t="inlineStr">
        <is>
          <t>Total Surcharge</t>
        </is>
      </c>
      <c r="J28" s="199" t="n"/>
      <c r="K28" s="36" t="inlineStr">
        <is>
          <t>Unit Price</t>
        </is>
      </c>
      <c r="L28" s="199" t="n"/>
      <c r="M28" s="36" t="inlineStr">
        <is>
          <t>Subtotal 1</t>
        </is>
      </c>
      <c r="N28" s="199" t="n"/>
      <c r="O28" s="35" t="inlineStr">
        <is>
          <t>Margin</t>
        </is>
      </c>
      <c r="P28" s="186" t="inlineStr">
        <is>
          <t>Subtotal 2</t>
        </is>
      </c>
      <c r="S28" s="22" t="n"/>
      <c r="T28" s="22" t="n"/>
      <c r="U28" s="22" t="n"/>
      <c r="V28" s="22" t="n"/>
      <c r="W28" s="22" t="n"/>
    </row>
    <row r="29" ht="16.5" customFormat="1" customHeight="1" s="21" thickTop="1">
      <c r="A29" s="13" t="n">
        <v>1</v>
      </c>
      <c r="B29" s="14" t="inlineStr">
        <is>
          <t>MG Power and Associates Inc</t>
        </is>
      </c>
      <c r="C29" s="234" t="n"/>
      <c r="D29" s="235" t="n"/>
      <c r="E29" s="234" t="n"/>
      <c r="F29" s="235" t="n"/>
      <c r="G29" s="234" t="n"/>
      <c r="H29" s="235" t="n"/>
      <c r="I29" s="236">
        <f>C29*E29*G29</f>
        <v/>
      </c>
      <c r="J29" s="220" t="n"/>
      <c r="K29" s="237" t="n"/>
      <c r="L29" s="235" t="n"/>
      <c r="M29" s="238">
        <f>K29*I29</f>
        <v/>
      </c>
      <c r="N29" s="220" t="n"/>
      <c r="O29" s="5" t="n">
        <v>0.85</v>
      </c>
      <c r="P29" s="45">
        <f>M29/O29</f>
        <v/>
      </c>
      <c r="S29" s="22" t="n"/>
      <c r="T29" s="22" t="n"/>
      <c r="U29" s="22" t="n"/>
      <c r="V29" s="22" t="n"/>
      <c r="W29" s="22" t="n"/>
    </row>
    <row r="30" customFormat="1" s="21">
      <c r="A30" s="5" t="n">
        <v>2</v>
      </c>
      <c r="B30" s="18" t="inlineStr">
        <is>
          <t xml:space="preserve">parking </t>
        </is>
      </c>
      <c r="C30" s="5" t="n"/>
      <c r="D30" s="201" t="n"/>
      <c r="E30" s="5" t="n"/>
      <c r="F30" s="201" t="n"/>
      <c r="G30" s="5" t="n"/>
      <c r="H30" s="201" t="n"/>
      <c r="I30" s="5">
        <f>C30*E30*G30</f>
        <v/>
      </c>
      <c r="J30" s="201" t="n"/>
      <c r="K30" s="239" t="n"/>
      <c r="L30" s="201" t="n"/>
      <c r="M30" s="121">
        <f>K30*I30</f>
        <v/>
      </c>
      <c r="N30" s="201" t="n"/>
      <c r="O30" s="5" t="n">
        <v>0.85</v>
      </c>
      <c r="P30" s="50">
        <f>M30/O30</f>
        <v/>
      </c>
      <c r="S30" s="22" t="n"/>
      <c r="T30" s="22" t="n"/>
      <c r="U30" s="22" t="n"/>
      <c r="V30" s="22" t="n"/>
      <c r="W30" s="22" t="n"/>
    </row>
    <row r="31" customFormat="1" s="21">
      <c r="A31" s="5" t="n">
        <v>3</v>
      </c>
      <c r="B31" s="18" t="inlineStr">
        <is>
          <t>Millwrighting</t>
        </is>
      </c>
      <c r="C31" s="5" t="n"/>
      <c r="D31" s="201" t="n"/>
      <c r="E31" s="5" t="n"/>
      <c r="F31" s="201" t="n"/>
      <c r="G31" s="5" t="n"/>
      <c r="H31" s="201" t="n"/>
      <c r="I31" s="5">
        <f>C31*E31*G31</f>
        <v/>
      </c>
      <c r="J31" s="201" t="n"/>
      <c r="K31" s="239" t="n"/>
      <c r="L31" s="201" t="n"/>
      <c r="M31" s="121">
        <f>K31*I31</f>
        <v/>
      </c>
      <c r="N31" s="201" t="n"/>
      <c r="O31" s="5" t="n">
        <v>0.85</v>
      </c>
      <c r="P31" s="50">
        <f>M31/O31</f>
        <v/>
      </c>
      <c r="S31" s="22" t="n"/>
      <c r="T31" s="22" t="n"/>
      <c r="U31" s="22" t="n"/>
      <c r="V31" s="22" t="n"/>
      <c r="W31" s="22" t="n"/>
    </row>
    <row r="32" customFormat="1" s="21">
      <c r="A32" s="5" t="n">
        <v>4</v>
      </c>
      <c r="B32" s="18" t="inlineStr">
        <is>
          <t>Temp Door</t>
        </is>
      </c>
      <c r="C32" s="5" t="n"/>
      <c r="D32" s="201" t="n"/>
      <c r="E32" s="5" t="n"/>
      <c r="F32" s="201" t="n"/>
      <c r="G32" s="5" t="n"/>
      <c r="H32" s="201" t="n"/>
      <c r="I32" s="5">
        <f>C32*E32*G32</f>
        <v/>
      </c>
      <c r="J32" s="201" t="n"/>
      <c r="K32" s="239" t="n"/>
      <c r="L32" s="201" t="n"/>
      <c r="M32" s="121">
        <f>K32*I32</f>
        <v/>
      </c>
      <c r="N32" s="201" t="n"/>
      <c r="O32" s="5" t="n">
        <v>0.85</v>
      </c>
      <c r="P32" s="50">
        <f>M32/O32</f>
        <v/>
      </c>
      <c r="S32" s="22" t="n"/>
      <c r="T32" s="22" t="n"/>
      <c r="U32" s="22" t="n"/>
      <c r="V32" s="22" t="n"/>
      <c r="W32" s="22" t="n"/>
    </row>
    <row r="33" customFormat="1" s="21">
      <c r="A33" s="5" t="n">
        <v>5</v>
      </c>
      <c r="B33" s="18" t="inlineStr">
        <is>
          <t>Bonding Costs</t>
        </is>
      </c>
      <c r="C33" s="5" t="n"/>
      <c r="D33" s="201" t="n"/>
      <c r="E33" s="5" t="n"/>
      <c r="F33" s="201" t="n"/>
      <c r="G33" s="5" t="n"/>
      <c r="H33" s="201" t="n"/>
      <c r="I33" s="5">
        <f>C33*E33*G33</f>
        <v/>
      </c>
      <c r="J33" s="201" t="n"/>
      <c r="K33" s="239" t="n"/>
      <c r="L33" s="201" t="n"/>
      <c r="M33" s="121">
        <f>K33*I33</f>
        <v/>
      </c>
      <c r="N33" s="201" t="n"/>
      <c r="O33" s="5" t="n">
        <v>0.85</v>
      </c>
      <c r="P33" s="50">
        <f>M33/O33</f>
        <v/>
      </c>
      <c r="S33" s="22" t="n"/>
      <c r="T33" s="22" t="n"/>
      <c r="U33" s="22" t="n"/>
      <c r="V33" s="22" t="n"/>
      <c r="W33" s="22" t="n"/>
    </row>
    <row r="34" customFormat="1" s="21">
      <c r="A34" s="5" t="n"/>
      <c r="B34" s="18" t="n"/>
      <c r="C34" s="5" t="n"/>
      <c r="D34" s="201" t="n"/>
      <c r="E34" s="5" t="n"/>
      <c r="F34" s="201" t="n"/>
      <c r="G34" s="5" t="n"/>
      <c r="H34" s="201" t="n"/>
      <c r="I34" s="5">
        <f>C34*E34*G34</f>
        <v/>
      </c>
      <c r="J34" s="201" t="n"/>
      <c r="K34" s="239" t="n"/>
      <c r="L34" s="201" t="n"/>
      <c r="M34" s="121">
        <f>K34*I34</f>
        <v/>
      </c>
      <c r="N34" s="201" t="n"/>
      <c r="O34" s="5" t="n">
        <v>0.85</v>
      </c>
      <c r="P34" s="50">
        <f>M34/O34</f>
        <v/>
      </c>
      <c r="S34" s="22" t="n"/>
      <c r="T34" s="22" t="n"/>
      <c r="U34" s="22" t="n"/>
      <c r="V34" s="22" t="n"/>
      <c r="W34" s="22" t="n"/>
    </row>
    <row r="35" customFormat="1" s="21">
      <c r="A35" s="5" t="n"/>
      <c r="B35" s="18" t="n"/>
      <c r="C35" s="5" t="n"/>
      <c r="D35" s="201" t="n"/>
      <c r="E35" s="5" t="n"/>
      <c r="F35" s="201" t="n"/>
      <c r="G35" s="5" t="n"/>
      <c r="H35" s="201" t="n"/>
      <c r="I35" s="13">
        <f>C35*E35*G35</f>
        <v/>
      </c>
      <c r="J35" s="206" t="n"/>
      <c r="K35" s="239" t="n"/>
      <c r="L35" s="201" t="n"/>
      <c r="M35" s="15">
        <f>K35*I35</f>
        <v/>
      </c>
      <c r="N35" s="206" t="n"/>
      <c r="O35" s="5" t="n">
        <v>0.85</v>
      </c>
      <c r="P35" s="50">
        <f>M35/O35</f>
        <v/>
      </c>
      <c r="S35" s="22" t="n"/>
      <c r="T35" s="22" t="n"/>
      <c r="U35" s="22" t="n"/>
      <c r="V35" s="22" t="n"/>
      <c r="W35" s="22" t="n"/>
    </row>
    <row r="36" ht="15.75" customFormat="1" customHeight="1" s="21" thickBot="1">
      <c r="A36" s="128" t="inlineStr">
        <is>
          <t>Subtotal Subcontractors</t>
        </is>
      </c>
      <c r="B36" s="240" t="n"/>
      <c r="C36" s="240" t="n"/>
      <c r="D36" s="240" t="n"/>
      <c r="E36" s="240" t="n"/>
      <c r="F36" s="240" t="n"/>
      <c r="G36" s="240" t="n"/>
      <c r="H36" s="240" t="n"/>
      <c r="I36" s="240" t="n"/>
      <c r="J36" s="240" t="n"/>
      <c r="K36" s="240" t="n"/>
      <c r="L36" s="240" t="n"/>
      <c r="M36" s="240" t="n"/>
      <c r="N36" s="240" t="n"/>
      <c r="O36" s="240" t="n"/>
      <c r="P36" s="56">
        <f>SUM(P29:P35)</f>
        <v/>
      </c>
      <c r="S36" s="22" t="n"/>
      <c r="T36" s="22" t="n"/>
      <c r="U36" s="22" t="n"/>
      <c r="V36" s="22" t="n"/>
      <c r="W36" s="22" t="n"/>
    </row>
    <row r="37" ht="34.5" customHeight="1" thickBot="1">
      <c r="A37" s="150" t="inlineStr">
        <is>
          <t>Materials and Equipment</t>
        </is>
      </c>
      <c r="B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9" t="n"/>
      <c r="S37" s="22" t="n"/>
      <c r="T37" s="22" t="n"/>
      <c r="U37" s="22" t="n"/>
      <c r="V37" s="22" t="n"/>
      <c r="W37" s="22" t="n"/>
    </row>
    <row r="38" ht="19.5" customHeight="1" thickBot="1">
      <c r="A38" s="69" t="inlineStr">
        <is>
          <t>Item</t>
        </is>
      </c>
      <c r="B38" s="69" t="inlineStr">
        <is>
          <t>Material Item</t>
        </is>
      </c>
      <c r="C38" s="35" t="inlineStr">
        <is>
          <t>Surcharge</t>
        </is>
      </c>
      <c r="D38" s="199" t="n"/>
      <c r="E38" s="35" t="inlineStr">
        <is>
          <t>Units/Length</t>
        </is>
      </c>
      <c r="F38" s="199" t="n"/>
      <c r="G38" s="36" t="inlineStr">
        <is>
          <t>Other</t>
        </is>
      </c>
      <c r="H38" s="199" t="n"/>
      <c r="I38" s="36" t="inlineStr">
        <is>
          <t>Total Surcharge</t>
        </is>
      </c>
      <c r="J38" s="199" t="n"/>
      <c r="K38" s="36" t="inlineStr">
        <is>
          <t>Unit Price</t>
        </is>
      </c>
      <c r="L38" s="199" t="n"/>
      <c r="M38" s="36" t="inlineStr">
        <is>
          <t>Subtotal 1</t>
        </is>
      </c>
      <c r="N38" s="199" t="n"/>
      <c r="O38" s="35" t="inlineStr">
        <is>
          <t>Margin</t>
        </is>
      </c>
      <c r="P38" s="186" t="inlineStr">
        <is>
          <t>Subtotal 2</t>
        </is>
      </c>
      <c r="S38" s="22" t="n"/>
      <c r="T38" s="22" t="n"/>
      <c r="U38" s="22" t="n"/>
      <c r="V38" s="22" t="n"/>
      <c r="W38" s="22" t="n"/>
    </row>
    <row r="39" ht="16.5" customHeight="1" thickTop="1">
      <c r="A39" s="13" t="n">
        <v>1</v>
      </c>
      <c r="B39" s="14" t="inlineStr">
        <is>
          <t>ABB SWGR</t>
        </is>
      </c>
      <c r="C39" s="236" t="n"/>
      <c r="D39" s="220" t="n"/>
      <c r="E39" s="236" t="n"/>
      <c r="F39" s="220" t="n"/>
      <c r="G39" s="236" t="n"/>
      <c r="H39" s="220" t="n"/>
      <c r="I39" s="236">
        <f>G39*E39*C39</f>
        <v/>
      </c>
      <c r="J39" s="220" t="n"/>
      <c r="K39" s="241" t="n"/>
      <c r="L39" s="220" t="n"/>
      <c r="M39" s="238">
        <f>K39*I39</f>
        <v/>
      </c>
      <c r="N39" s="220" t="n"/>
      <c r="O39" s="5" t="n">
        <v>0.85</v>
      </c>
      <c r="P39" s="70">
        <f>M39/O39</f>
        <v/>
      </c>
      <c r="S39" s="22" t="n"/>
      <c r="T39" s="22" t="n"/>
      <c r="U39" s="22" t="n"/>
      <c r="V39" s="22" t="n"/>
      <c r="W39" s="22" t="n"/>
    </row>
    <row r="40" customFormat="1" s="22">
      <c r="A40" s="13" t="n">
        <v>2</v>
      </c>
      <c r="B40" s="18" t="inlineStr">
        <is>
          <t>parking</t>
        </is>
      </c>
      <c r="C40" s="5" t="n"/>
      <c r="D40" s="201" t="n"/>
      <c r="E40" s="5" t="n"/>
      <c r="F40" s="201" t="n"/>
      <c r="G40" s="5" t="n"/>
      <c r="H40" s="201" t="n"/>
      <c r="I40" s="5">
        <f>G40*E40*C40</f>
        <v/>
      </c>
      <c r="J40" s="201" t="n"/>
      <c r="K40" s="239" t="n"/>
      <c r="L40" s="201" t="n"/>
      <c r="M40" s="121">
        <f>K40*I40</f>
        <v/>
      </c>
      <c r="N40" s="201" t="n"/>
      <c r="O40" s="5" t="n">
        <v>0.85</v>
      </c>
      <c r="P40" s="71">
        <f>M40/O40</f>
        <v/>
      </c>
    </row>
    <row r="41" customFormat="1" s="22">
      <c r="A41" s="13" t="n">
        <v>3</v>
      </c>
      <c r="B41" s="18" t="n"/>
      <c r="C41" s="5" t="n"/>
      <c r="D41" s="201" t="n"/>
      <c r="E41" s="5" t="n"/>
      <c r="F41" s="201" t="n"/>
      <c r="G41" s="5" t="n"/>
      <c r="H41" s="201" t="n"/>
      <c r="I41" s="5">
        <f>G41*E41*C41</f>
        <v/>
      </c>
      <c r="J41" s="201" t="n"/>
      <c r="K41" s="239" t="n"/>
      <c r="L41" s="201" t="n"/>
      <c r="M41" s="121">
        <f>K41*I41</f>
        <v/>
      </c>
      <c r="N41" s="201" t="n"/>
      <c r="O41" s="5" t="n">
        <v>0.85</v>
      </c>
      <c r="P41" s="71">
        <f>M41/O41</f>
        <v/>
      </c>
    </row>
    <row r="42" customFormat="1" s="22">
      <c r="A42" s="13" t="n">
        <v>4</v>
      </c>
      <c r="B42" s="18" t="n"/>
      <c r="C42" s="5" t="n"/>
      <c r="D42" s="201" t="n"/>
      <c r="E42" s="5" t="n"/>
      <c r="F42" s="201" t="n"/>
      <c r="G42" s="5" t="n"/>
      <c r="H42" s="201" t="n"/>
      <c r="I42" s="5">
        <f>G42*E42*C42</f>
        <v/>
      </c>
      <c r="J42" s="201" t="n"/>
      <c r="K42" s="239" t="n"/>
      <c r="L42" s="201" t="n"/>
      <c r="M42" s="121">
        <f>K42*I42</f>
        <v/>
      </c>
      <c r="N42" s="201" t="n"/>
      <c r="O42" s="5" t="n">
        <v>0.85</v>
      </c>
      <c r="P42" s="71">
        <f>M42/O42</f>
        <v/>
      </c>
    </row>
    <row r="43" customFormat="1" s="22">
      <c r="A43" s="13" t="n">
        <v>5</v>
      </c>
      <c r="B43" s="18" t="n"/>
      <c r="C43" s="5" t="n"/>
      <c r="D43" s="201" t="n"/>
      <c r="E43" s="5" t="n"/>
      <c r="F43" s="201" t="n"/>
      <c r="G43" s="5" t="n"/>
      <c r="H43" s="201" t="n"/>
      <c r="I43" s="5">
        <f>G43*E43*C43</f>
        <v/>
      </c>
      <c r="J43" s="201" t="n"/>
      <c r="K43" s="239" t="n"/>
      <c r="L43" s="201" t="n"/>
      <c r="M43" s="121">
        <f>K43*I43</f>
        <v/>
      </c>
      <c r="N43" s="201" t="n"/>
      <c r="O43" s="5" t="n">
        <v>0.85</v>
      </c>
      <c r="P43" s="71">
        <f>M43/O43</f>
        <v/>
      </c>
    </row>
    <row r="44" customFormat="1" s="22">
      <c r="A44" s="13" t="n">
        <v>6</v>
      </c>
      <c r="B44" s="18" t="n"/>
      <c r="C44" s="5" t="n"/>
      <c r="D44" s="201" t="n"/>
      <c r="E44" s="5" t="n"/>
      <c r="F44" s="201" t="n"/>
      <c r="G44" s="5" t="n"/>
      <c r="H44" s="201" t="n"/>
      <c r="I44" s="5">
        <f>G44*E44*C44</f>
        <v/>
      </c>
      <c r="J44" s="201" t="n"/>
      <c r="K44" s="239" t="n"/>
      <c r="L44" s="201" t="n"/>
      <c r="M44" s="121">
        <f>K44*I44</f>
        <v/>
      </c>
      <c r="N44" s="201" t="n"/>
      <c r="O44" s="5" t="n">
        <v>0.85</v>
      </c>
      <c r="P44" s="71">
        <f>M44/O44</f>
        <v/>
      </c>
    </row>
    <row r="45" customFormat="1" s="22">
      <c r="A45" s="13" t="n">
        <v>7</v>
      </c>
      <c r="B45" s="18" t="n"/>
      <c r="C45" s="5" t="n"/>
      <c r="D45" s="201" t="n"/>
      <c r="E45" s="5" t="n"/>
      <c r="F45" s="201" t="n"/>
      <c r="G45" s="5" t="n"/>
      <c r="H45" s="201" t="n"/>
      <c r="I45" s="5">
        <f>G45*E45*C45</f>
        <v/>
      </c>
      <c r="J45" s="201" t="n"/>
      <c r="K45" s="239" t="n"/>
      <c r="L45" s="201" t="n"/>
      <c r="M45" s="121">
        <f>K45*I45</f>
        <v/>
      </c>
      <c r="N45" s="201" t="n"/>
      <c r="O45" s="5" t="n">
        <v>0.85</v>
      </c>
      <c r="P45" s="71">
        <f>M45/O45</f>
        <v/>
      </c>
    </row>
    <row r="46" customFormat="1" s="22">
      <c r="A46" s="13" t="n">
        <v>8</v>
      </c>
      <c r="B46" s="18" t="n"/>
      <c r="C46" s="5" t="n"/>
      <c r="D46" s="201" t="n"/>
      <c r="E46" s="5" t="n"/>
      <c r="F46" s="201" t="n"/>
      <c r="G46" s="5" t="n"/>
      <c r="H46" s="201" t="n"/>
      <c r="I46" s="5">
        <f>G46*E46*C46</f>
        <v/>
      </c>
      <c r="J46" s="201" t="n"/>
      <c r="K46" s="239" t="n"/>
      <c r="L46" s="201" t="n"/>
      <c r="M46" s="121">
        <f>K46*I46</f>
        <v/>
      </c>
      <c r="N46" s="201" t="n"/>
      <c r="O46" s="5" t="n">
        <v>0.85</v>
      </c>
      <c r="P46" s="71">
        <f>M46/O46</f>
        <v/>
      </c>
    </row>
    <row r="47" customFormat="1" s="22">
      <c r="A47" s="13" t="n">
        <v>9</v>
      </c>
      <c r="B47" s="18" t="n"/>
      <c r="C47" s="5" t="n"/>
      <c r="D47" s="201" t="n"/>
      <c r="E47" s="5" t="n"/>
      <c r="F47" s="201" t="n"/>
      <c r="G47" s="5" t="n"/>
      <c r="H47" s="201" t="n"/>
      <c r="I47" s="5">
        <f>G47*E47*C47</f>
        <v/>
      </c>
      <c r="J47" s="201" t="n"/>
      <c r="K47" s="239" t="n"/>
      <c r="L47" s="201" t="n"/>
      <c r="M47" s="121">
        <f>K47*I47</f>
        <v/>
      </c>
      <c r="N47" s="201" t="n"/>
      <c r="O47" s="5" t="n">
        <v>0.85</v>
      </c>
      <c r="P47" s="71">
        <f>M47/O47</f>
        <v/>
      </c>
    </row>
    <row r="48" customFormat="1" s="22">
      <c r="A48" s="13" t="n">
        <v>10</v>
      </c>
      <c r="B48" s="18" t="n"/>
      <c r="C48" s="5" t="n"/>
      <c r="D48" s="201" t="n"/>
      <c r="E48" s="5" t="n"/>
      <c r="F48" s="201" t="n"/>
      <c r="G48" s="5" t="n"/>
      <c r="H48" s="201" t="n"/>
      <c r="I48" s="5">
        <f>G48*E48*C48</f>
        <v/>
      </c>
      <c r="J48" s="201" t="n"/>
      <c r="K48" s="239" t="n"/>
      <c r="L48" s="201" t="n"/>
      <c r="M48" s="121">
        <f>K48*I48</f>
        <v/>
      </c>
      <c r="N48" s="201" t="n"/>
      <c r="O48" s="5" t="n">
        <v>0.85</v>
      </c>
      <c r="P48" s="71">
        <f>M48/O48</f>
        <v/>
      </c>
    </row>
    <row r="49" customFormat="1" s="22">
      <c r="A49" s="13" t="n">
        <v>11</v>
      </c>
      <c r="B49" s="18" t="n"/>
      <c r="C49" s="5" t="n"/>
      <c r="D49" s="201" t="n"/>
      <c r="E49" s="5" t="n"/>
      <c r="F49" s="201" t="n"/>
      <c r="G49" s="5" t="n"/>
      <c r="H49" s="201" t="n"/>
      <c r="I49" s="5">
        <f>G49*E49*C49</f>
        <v/>
      </c>
      <c r="J49" s="201" t="n"/>
      <c r="K49" s="239" t="n"/>
      <c r="L49" s="201" t="n"/>
      <c r="M49" s="121">
        <f>K49*I49</f>
        <v/>
      </c>
      <c r="N49" s="201" t="n"/>
      <c r="O49" s="5" t="n">
        <v>0.85</v>
      </c>
      <c r="P49" s="71">
        <f>M49/O49</f>
        <v/>
      </c>
    </row>
    <row r="50" customFormat="1" s="22">
      <c r="A50" s="13" t="n">
        <v>12</v>
      </c>
      <c r="B50" s="18" t="n"/>
      <c r="C50" s="5" t="n"/>
      <c r="D50" s="201" t="n"/>
      <c r="E50" s="5" t="n"/>
      <c r="F50" s="201" t="n"/>
      <c r="G50" s="5" t="n"/>
      <c r="H50" s="201" t="n"/>
      <c r="I50" s="5">
        <f>G50*E50*C50</f>
        <v/>
      </c>
      <c r="J50" s="201" t="n"/>
      <c r="K50" s="239" t="n"/>
      <c r="L50" s="201" t="n"/>
      <c r="M50" s="121">
        <f>K50*I50</f>
        <v/>
      </c>
      <c r="N50" s="201" t="n"/>
      <c r="O50" s="5" t="n">
        <v>0.85</v>
      </c>
      <c r="P50" s="71">
        <f>M50/O50</f>
        <v/>
      </c>
    </row>
    <row r="51" customFormat="1" s="22">
      <c r="A51" s="13" t="n">
        <v>13</v>
      </c>
      <c r="B51" s="18" t="inlineStr">
        <is>
          <t>Rigid 90deg - 2"</t>
        </is>
      </c>
      <c r="C51" s="5" t="n"/>
      <c r="D51" s="201" t="n"/>
      <c r="E51" s="5" t="n"/>
      <c r="F51" s="201" t="n"/>
      <c r="G51" s="5" t="n"/>
      <c r="H51" s="201" t="n"/>
      <c r="I51" s="5">
        <f>G51*E51*C51</f>
        <v/>
      </c>
      <c r="J51" s="201" t="n"/>
      <c r="K51" s="239" t="n"/>
      <c r="L51" s="201" t="n"/>
      <c r="M51" s="121">
        <f>K51*I51</f>
        <v/>
      </c>
      <c r="N51" s="201" t="n"/>
      <c r="O51" s="5" t="n">
        <v>0.85</v>
      </c>
      <c r="P51" s="71">
        <f>M51/O51</f>
        <v/>
      </c>
    </row>
    <row r="52" customFormat="1" s="22">
      <c r="A52" s="13" t="n">
        <v>14</v>
      </c>
      <c r="B52" s="18" t="inlineStr">
        <is>
          <t>Rigid Bullet Hub Connectors - 2" and Nut</t>
        </is>
      </c>
      <c r="C52" s="5" t="n"/>
      <c r="D52" s="201" t="n"/>
      <c r="E52" s="5" t="n"/>
      <c r="F52" s="201" t="n"/>
      <c r="G52" s="5" t="n"/>
      <c r="H52" s="201" t="n"/>
      <c r="I52" s="5">
        <f>G52*E52*C52</f>
        <v/>
      </c>
      <c r="J52" s="201" t="n"/>
      <c r="K52" s="239" t="n"/>
      <c r="L52" s="201" t="n"/>
      <c r="M52" s="121">
        <f>K52*I52</f>
        <v/>
      </c>
      <c r="N52" s="201" t="n"/>
      <c r="O52" s="5" t="n">
        <v>0.85</v>
      </c>
      <c r="P52" s="71">
        <f>M52/O52</f>
        <v/>
      </c>
    </row>
    <row r="53" customFormat="1" s="22">
      <c r="A53" s="13" t="n">
        <v>15</v>
      </c>
      <c r="B53" s="72" t="inlineStr">
        <is>
          <t>YGA282N - 2 Hole Lug, #4/o AWG</t>
        </is>
      </c>
      <c r="C53" s="5" t="n"/>
      <c r="D53" s="201" t="n"/>
      <c r="E53" s="5" t="n"/>
      <c r="F53" s="201" t="n"/>
      <c r="G53" s="5" t="n"/>
      <c r="H53" s="201" t="n"/>
      <c r="I53" s="5">
        <f>G53*E53*C53</f>
        <v/>
      </c>
      <c r="J53" s="201" t="n"/>
      <c r="K53" s="239" t="n"/>
      <c r="L53" s="201" t="n"/>
      <c r="M53" s="121">
        <f>K53*I53</f>
        <v/>
      </c>
      <c r="N53" s="201" t="n"/>
      <c r="O53" s="5" t="n">
        <v>0.85</v>
      </c>
      <c r="P53" s="71">
        <f>M53/O53</f>
        <v/>
      </c>
    </row>
    <row r="54" customFormat="1" s="22">
      <c r="A54" s="13" t="n">
        <v>16</v>
      </c>
      <c r="B54" s="72" t="inlineStr">
        <is>
          <t>Mounting tape - VBH F-9473PB by 3M</t>
        </is>
      </c>
      <c r="C54" s="5" t="n"/>
      <c r="D54" s="201" t="n"/>
      <c r="E54" s="5" t="n"/>
      <c r="F54" s="201" t="n"/>
      <c r="G54" s="5" t="n"/>
      <c r="H54" s="201" t="n"/>
      <c r="I54" s="5">
        <f>G54*E54*C54</f>
        <v/>
      </c>
      <c r="J54" s="201" t="n"/>
      <c r="K54" s="239" t="n"/>
      <c r="L54" s="201" t="n"/>
      <c r="M54" s="121">
        <f>K54*I54</f>
        <v/>
      </c>
      <c r="N54" s="201" t="n"/>
      <c r="O54" s="5" t="n">
        <v>0.85</v>
      </c>
      <c r="P54" s="71">
        <f>M54/O54</f>
        <v/>
      </c>
    </row>
    <row r="55" customFormat="1" s="22">
      <c r="A55" s="13" t="n">
        <v>17</v>
      </c>
      <c r="B55" s="72" t="inlineStr">
        <is>
          <t>Foam tape - VBH F-4910 by 3M</t>
        </is>
      </c>
      <c r="C55" s="5" t="n"/>
      <c r="D55" s="201" t="n"/>
      <c r="E55" s="5" t="n"/>
      <c r="F55" s="201" t="n"/>
      <c r="G55" s="5" t="n"/>
      <c r="H55" s="201" t="n"/>
      <c r="I55" s="5">
        <f>G55*E55*C55</f>
        <v/>
      </c>
      <c r="J55" s="201" t="n"/>
      <c r="K55" s="239" t="n"/>
      <c r="L55" s="201" t="n"/>
      <c r="M55" s="121">
        <f>K55*I55</f>
        <v/>
      </c>
      <c r="N55" s="201" t="n"/>
      <c r="O55" s="5" t="n">
        <v>0.85</v>
      </c>
      <c r="P55" s="71">
        <f>M55/O55</f>
        <v/>
      </c>
    </row>
    <row r="56" customFormat="1" s="22">
      <c r="A56" s="13" t="n">
        <v>18</v>
      </c>
      <c r="B56" s="72" t="inlineStr">
        <is>
          <t>AS-7096N Sealant</t>
        </is>
      </c>
      <c r="C56" s="5" t="n"/>
      <c r="D56" s="201" t="n"/>
      <c r="E56" s="5" t="n"/>
      <c r="F56" s="201" t="n"/>
      <c r="G56" s="5" t="n"/>
      <c r="H56" s="201" t="n"/>
      <c r="I56" s="5">
        <f>G56*E56*C56</f>
        <v/>
      </c>
      <c r="J56" s="201" t="n"/>
      <c r="K56" s="239" t="n"/>
      <c r="L56" s="201" t="n"/>
      <c r="M56" s="121">
        <f>K56*I56</f>
        <v/>
      </c>
      <c r="N56" s="201" t="n"/>
      <c r="O56" s="5" t="n">
        <v>0.85</v>
      </c>
      <c r="P56" s="71">
        <f>M56/O56</f>
        <v/>
      </c>
    </row>
    <row r="57" customFormat="1" s="22">
      <c r="A57" s="13" t="n">
        <v>19</v>
      </c>
      <c r="B57" s="72" t="inlineStr">
        <is>
          <t>Breaker HLL36060</t>
        </is>
      </c>
      <c r="C57" s="5" t="n"/>
      <c r="D57" s="201" t="n"/>
      <c r="E57" s="5" t="n"/>
      <c r="F57" s="201" t="n"/>
      <c r="G57" s="5" t="n"/>
      <c r="H57" s="201" t="n"/>
      <c r="I57" s="5">
        <f>G57*E57*C57</f>
        <v/>
      </c>
      <c r="J57" s="201" t="n"/>
      <c r="K57" s="239" t="n"/>
      <c r="L57" s="201" t="n"/>
      <c r="M57" s="121">
        <f>K57*I57</f>
        <v/>
      </c>
      <c r="N57" s="201" t="n"/>
      <c r="O57" s="5" t="n">
        <v>0.85</v>
      </c>
      <c r="P57" s="71">
        <f>M57/O57</f>
        <v/>
      </c>
    </row>
    <row r="58" ht="31.5" customFormat="1" customHeight="1" s="22">
      <c r="A58" s="13" t="n">
        <v>20</v>
      </c>
      <c r="B58" s="72" t="inlineStr">
        <is>
          <t>Pull Box, EEMAC-1 300mX300mmX150mm (P/N: CS12126)</t>
        </is>
      </c>
      <c r="C58" s="5" t="n"/>
      <c r="D58" s="201" t="n"/>
      <c r="E58" s="5" t="n"/>
      <c r="F58" s="201" t="n"/>
      <c r="G58" s="5" t="n"/>
      <c r="H58" s="201" t="n"/>
      <c r="I58" s="5">
        <f>G58*E58*C58</f>
        <v/>
      </c>
      <c r="J58" s="201" t="n"/>
      <c r="K58" s="239" t="n"/>
      <c r="L58" s="201" t="n"/>
      <c r="M58" s="121">
        <f>K58*I58</f>
        <v/>
      </c>
      <c r="N58" s="201" t="n"/>
      <c r="O58" s="5" t="n">
        <v>0.85</v>
      </c>
      <c r="P58" s="71">
        <f>M58/O58</f>
        <v/>
      </c>
    </row>
    <row r="59" customFormat="1" s="22">
      <c r="A59" s="13" t="n">
        <v>27</v>
      </c>
      <c r="B59" s="72" t="inlineStr">
        <is>
          <t>Aluminum Bracket (Aluma Form)</t>
        </is>
      </c>
      <c r="C59" s="5" t="n"/>
      <c r="D59" s="201" t="n"/>
      <c r="E59" s="5" t="n"/>
      <c r="F59" s="201" t="n"/>
      <c r="G59" s="5" t="n"/>
      <c r="H59" s="201" t="n"/>
      <c r="I59" s="5">
        <f>G59*E59*C59</f>
        <v/>
      </c>
      <c r="J59" s="201" t="n"/>
      <c r="K59" s="239" t="n"/>
      <c r="L59" s="201" t="n"/>
      <c r="M59" s="121">
        <f>K59*I59</f>
        <v/>
      </c>
      <c r="N59" s="201" t="n"/>
      <c r="O59" s="5" t="n">
        <v>0.85</v>
      </c>
      <c r="P59" s="71">
        <f>M59/O59</f>
        <v/>
      </c>
    </row>
    <row r="60">
      <c r="A60" s="13" t="n">
        <v>28</v>
      </c>
      <c r="B60" s="18" t="n"/>
      <c r="C60" s="5" t="n"/>
      <c r="D60" s="201" t="n"/>
      <c r="E60" s="5" t="n"/>
      <c r="F60" s="201" t="n"/>
      <c r="G60" s="5" t="n"/>
      <c r="H60" s="201" t="n"/>
      <c r="I60" s="5">
        <f>G60*E60*C60</f>
        <v/>
      </c>
      <c r="J60" s="201" t="n"/>
      <c r="K60" s="239" t="n"/>
      <c r="L60" s="201" t="n"/>
      <c r="M60" s="121">
        <f>K60*I60</f>
        <v/>
      </c>
      <c r="N60" s="201" t="n"/>
      <c r="O60" s="5" t="n">
        <v>0.85</v>
      </c>
      <c r="P60" s="71">
        <f>M60/O60</f>
        <v/>
      </c>
      <c r="S60" s="22" t="n"/>
      <c r="T60" s="22" t="n"/>
      <c r="U60" s="22" t="n"/>
      <c r="V60" s="22" t="n"/>
      <c r="W60" s="22" t="n"/>
    </row>
    <row r="61">
      <c r="A61" s="13" t="n">
        <v>29</v>
      </c>
      <c r="B61" s="4" t="n"/>
      <c r="C61" s="5" t="n"/>
      <c r="D61" s="201" t="n"/>
      <c r="E61" s="5" t="n"/>
      <c r="F61" s="201" t="n"/>
      <c r="G61" s="5" t="n"/>
      <c r="H61" s="201" t="n"/>
      <c r="I61" s="5">
        <f>G61*E61*C61</f>
        <v/>
      </c>
      <c r="J61" s="201" t="n"/>
      <c r="K61" s="239" t="n"/>
      <c r="L61" s="201" t="n"/>
      <c r="M61" s="121">
        <f>K61*I61</f>
        <v/>
      </c>
      <c r="N61" s="201" t="n"/>
      <c r="O61" s="5" t="n">
        <v>0.85</v>
      </c>
      <c r="P61" s="71">
        <f>M61/O61</f>
        <v/>
      </c>
      <c r="S61" s="22" t="n"/>
      <c r="T61" s="73" t="n"/>
      <c r="U61" s="22" t="n"/>
      <c r="V61" s="22" t="n"/>
      <c r="W61" s="22" t="n"/>
    </row>
    <row r="62" ht="16.5" customFormat="1" customHeight="1" s="21" thickBot="1">
      <c r="A62" s="109" t="inlineStr">
        <is>
          <t>Subtotal Materials and Equipment</t>
        </is>
      </c>
      <c r="B62" s="200" t="n"/>
      <c r="C62" s="200" t="n"/>
      <c r="D62" s="200" t="n"/>
      <c r="E62" s="200" t="n"/>
      <c r="F62" s="200" t="n"/>
      <c r="G62" s="200" t="n"/>
      <c r="H62" s="200" t="n"/>
      <c r="I62" s="200" t="n"/>
      <c r="J62" s="200" t="n"/>
      <c r="K62" s="200" t="n"/>
      <c r="L62" s="200" t="n"/>
      <c r="M62" s="200" t="n"/>
      <c r="N62" s="200" t="n"/>
      <c r="O62" s="200" t="n"/>
      <c r="P62" s="74">
        <f>SUM(P39:P61)</f>
        <v/>
      </c>
      <c r="S62" s="22" t="n"/>
      <c r="T62" s="22" t="n"/>
      <c r="U62" s="22" t="n"/>
      <c r="V62" s="22" t="n"/>
      <c r="W62" s="22" t="n"/>
    </row>
    <row r="63" ht="16.5" customHeight="1" thickTop="1">
      <c r="A63" s="33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3" t="n"/>
      <c r="S63" s="22" t="n"/>
      <c r="T63" s="22" t="n"/>
      <c r="U63" s="22" t="n"/>
      <c r="V63" s="22" t="n"/>
      <c r="W63" s="22" t="n"/>
    </row>
    <row r="64">
      <c r="A64" s="204" t="n"/>
      <c r="B64" s="205" t="n"/>
      <c r="C64" s="205" t="n"/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  <c r="O64" s="205" t="n"/>
      <c r="P64" s="206" t="n"/>
      <c r="S64" s="22" t="n"/>
      <c r="T64" s="22" t="n"/>
      <c r="U64" s="22" t="n"/>
      <c r="V64" s="22" t="n"/>
      <c r="W64" s="22" t="n"/>
    </row>
    <row r="65">
      <c r="A65" s="103" t="inlineStr">
        <is>
          <t>Project Subtotal</t>
        </is>
      </c>
      <c r="B65" s="200" t="n"/>
      <c r="C65" s="200" t="n"/>
      <c r="D65" s="200" t="n"/>
      <c r="E65" s="200" t="n"/>
      <c r="F65" s="200" t="n"/>
      <c r="G65" s="200" t="n"/>
      <c r="H65" s="200" t="n"/>
      <c r="I65" s="200" t="n"/>
      <c r="J65" s="200" t="n"/>
      <c r="K65" s="200" t="n"/>
      <c r="L65" s="200" t="n"/>
      <c r="M65" s="200" t="n"/>
      <c r="N65" s="200" t="n"/>
      <c r="O65" s="201" t="n"/>
      <c r="P65" s="75">
        <f>P26+P36+P62</f>
        <v/>
      </c>
      <c r="S65" s="22" t="n"/>
      <c r="T65" s="22" t="n"/>
      <c r="U65" s="22" t="n"/>
      <c r="V65" s="22" t="n"/>
      <c r="W65" s="22" t="n"/>
    </row>
    <row r="66">
      <c r="A66" s="103" t="n"/>
      <c r="B66" s="200" t="n"/>
      <c r="C66" s="200" t="n"/>
      <c r="D66" s="200" t="n"/>
      <c r="E66" s="200" t="n"/>
      <c r="F66" s="200" t="n"/>
      <c r="G66" s="200" t="n"/>
      <c r="H66" s="200" t="n"/>
      <c r="I66" s="200" t="n"/>
      <c r="J66" s="200" t="n"/>
      <c r="K66" s="200" t="n"/>
      <c r="L66" s="200" t="n"/>
      <c r="M66" s="200" t="n"/>
      <c r="N66" s="200" t="n"/>
      <c r="O66" s="200" t="n"/>
      <c r="P66" s="201" t="n"/>
      <c r="S66" s="22" t="n"/>
      <c r="T66" s="22" t="n"/>
      <c r="U66" s="22" t="n"/>
      <c r="V66" s="22" t="n"/>
      <c r="W66" s="22" t="n"/>
    </row>
    <row r="67">
      <c r="A67" s="103" t="inlineStr">
        <is>
          <t>Cash Allowance</t>
        </is>
      </c>
      <c r="B67" s="200" t="n"/>
      <c r="C67" s="200" t="n"/>
      <c r="D67" s="200" t="n"/>
      <c r="E67" s="200" t="n"/>
      <c r="F67" s="200" t="n"/>
      <c r="G67" s="200" t="n"/>
      <c r="H67" s="200" t="n"/>
      <c r="I67" s="200" t="n"/>
      <c r="J67" s="200" t="n"/>
      <c r="K67" s="200" t="n"/>
      <c r="L67" s="200" t="n"/>
      <c r="M67" s="200" t="n"/>
      <c r="N67" s="200" t="n"/>
      <c r="O67" s="201" t="n"/>
      <c r="P67" s="75" t="n">
        <v>0</v>
      </c>
      <c r="S67" s="22" t="n"/>
      <c r="T67" s="22" t="n"/>
      <c r="U67" s="22" t="n"/>
      <c r="V67" s="22" t="n"/>
      <c r="W67" s="22" t="n"/>
    </row>
    <row r="68">
      <c r="A68" s="103" t="n"/>
      <c r="B68" s="200" t="n"/>
      <c r="C68" s="200" t="n"/>
      <c r="D68" s="200" t="n"/>
      <c r="E68" s="200" t="n"/>
      <c r="F68" s="200" t="n"/>
      <c r="G68" s="200" t="n"/>
      <c r="H68" s="200" t="n"/>
      <c r="I68" s="200" t="n"/>
      <c r="J68" s="200" t="n"/>
      <c r="K68" s="200" t="n"/>
      <c r="L68" s="200" t="n"/>
      <c r="M68" s="200" t="n"/>
      <c r="N68" s="200" t="n"/>
      <c r="O68" s="200" t="n"/>
      <c r="P68" s="201" t="n"/>
      <c r="S68" s="22" t="n"/>
      <c r="T68" s="22" t="n"/>
      <c r="U68" s="22" t="n"/>
      <c r="V68" s="22" t="n"/>
      <c r="W68" s="22" t="n"/>
    </row>
    <row r="69">
      <c r="A69" s="103" t="inlineStr">
        <is>
          <t>Utility Isolation</t>
        </is>
      </c>
      <c r="B69" s="200" t="n"/>
      <c r="C69" s="200" t="n"/>
      <c r="D69" s="200" t="n"/>
      <c r="E69" s="200" t="n"/>
      <c r="F69" s="200" t="n"/>
      <c r="G69" s="200" t="n"/>
      <c r="H69" s="200" t="n"/>
      <c r="I69" s="200" t="n"/>
      <c r="J69" s="200" t="n"/>
      <c r="K69" s="200" t="n"/>
      <c r="L69" s="200" t="n"/>
      <c r="M69" s="200" t="n"/>
      <c r="N69" s="200" t="n"/>
      <c r="O69" s="201" t="n"/>
      <c r="P69" s="75" t="n">
        <v>0</v>
      </c>
      <c r="S69" s="22" t="n"/>
      <c r="T69" s="22" t="n"/>
      <c r="U69" s="22" t="n"/>
      <c r="V69" s="22" t="n"/>
      <c r="W69" s="22" t="n"/>
    </row>
    <row r="70">
      <c r="A70" s="103" t="n"/>
      <c r="B70" s="200" t="n"/>
      <c r="C70" s="200" t="n"/>
      <c r="D70" s="200" t="n"/>
      <c r="E70" s="200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  <c r="P70" s="201" t="n"/>
      <c r="S70" s="22" t="n"/>
      <c r="T70" s="22" t="n"/>
      <c r="U70" s="22" t="n"/>
      <c r="V70" s="22" t="n"/>
      <c r="W70" s="22" t="n"/>
    </row>
    <row r="71">
      <c r="A71" s="104" t="inlineStr">
        <is>
          <t>Discount</t>
        </is>
      </c>
      <c r="B71" s="200" t="n"/>
      <c r="C71" s="200" t="n"/>
      <c r="D71" s="200" t="n"/>
      <c r="E71" s="200" t="n"/>
      <c r="F71" s="200" t="n"/>
      <c r="G71" s="200" t="n"/>
      <c r="H71" s="200" t="n"/>
      <c r="I71" s="200" t="n"/>
      <c r="J71" s="200" t="n"/>
      <c r="K71" s="200" t="n"/>
      <c r="L71" s="200" t="n"/>
      <c r="M71" s="200" t="n"/>
      <c r="N71" s="200" t="n"/>
      <c r="O71" s="201" t="n"/>
      <c r="P71" s="76" t="n">
        <v>0</v>
      </c>
      <c r="S71" s="22" t="n"/>
      <c r="T71" s="22" t="n"/>
      <c r="U71" s="22" t="n"/>
      <c r="V71" s="22" t="n"/>
      <c r="W71" s="22" t="n"/>
    </row>
    <row r="72">
      <c r="A72" s="189" t="n"/>
      <c r="B72" s="200" t="n"/>
      <c r="C72" s="200" t="n"/>
      <c r="D72" s="200" t="n"/>
      <c r="E72" s="200" t="n"/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  <c r="P72" s="201" t="n"/>
      <c r="S72" s="22" t="n"/>
      <c r="T72" s="22" t="n"/>
      <c r="U72" s="22" t="n"/>
      <c r="V72" s="22" t="n"/>
      <c r="W72" s="22" t="n"/>
    </row>
    <row r="73">
      <c r="A73" s="103" t="inlineStr">
        <is>
          <t>Project Total</t>
        </is>
      </c>
      <c r="B73" s="200" t="n"/>
      <c r="C73" s="200" t="n"/>
      <c r="D73" s="200" t="n"/>
      <c r="E73" s="200" t="n"/>
      <c r="F73" s="200" t="n"/>
      <c r="G73" s="200" t="n"/>
      <c r="H73" s="200" t="n"/>
      <c r="I73" s="200" t="n"/>
      <c r="J73" s="200" t="n"/>
      <c r="K73" s="200" t="n"/>
      <c r="L73" s="200" t="n"/>
      <c r="M73" s="200" t="n"/>
      <c r="N73" s="200" t="n"/>
      <c r="O73" s="201" t="n"/>
      <c r="P73" s="75">
        <f>SUM(P65,P67,P69, P71)</f>
        <v/>
      </c>
      <c r="S73" s="22" t="n"/>
      <c r="T73" s="73" t="n"/>
      <c r="U73" s="22" t="n"/>
      <c r="V73" s="22" t="n"/>
      <c r="W73" s="22" t="n"/>
    </row>
    <row r="74">
      <c r="A74" s="103" t="inlineStr">
        <is>
          <t>HST</t>
        </is>
      </c>
      <c r="B74" s="200" t="n"/>
      <c r="C74" s="200" t="n"/>
      <c r="D74" s="200" t="n"/>
      <c r="E74" s="200" t="n"/>
      <c r="F74" s="200" t="n"/>
      <c r="G74" s="200" t="n"/>
      <c r="H74" s="200" t="n"/>
      <c r="I74" s="200" t="n"/>
      <c r="J74" s="200" t="n"/>
      <c r="K74" s="200" t="n"/>
      <c r="L74" s="200" t="n"/>
      <c r="M74" s="200" t="n"/>
      <c r="N74" s="200" t="n"/>
      <c r="O74" s="201" t="n"/>
      <c r="P74" s="75">
        <f>P73*0.13</f>
        <v/>
      </c>
    </row>
    <row r="75">
      <c r="A75" s="103" t="inlineStr">
        <is>
          <t>TOTAL</t>
        </is>
      </c>
      <c r="B75" s="200" t="n"/>
      <c r="C75" s="200" t="n"/>
      <c r="D75" s="200" t="n"/>
      <c r="E75" s="200" t="n"/>
      <c r="F75" s="200" t="n"/>
      <c r="G75" s="200" t="n"/>
      <c r="H75" s="200" t="n"/>
      <c r="I75" s="200" t="n"/>
      <c r="J75" s="200" t="n"/>
      <c r="K75" s="200" t="n"/>
      <c r="L75" s="200" t="n"/>
      <c r="M75" s="200" t="n"/>
      <c r="N75" s="200" t="n"/>
      <c r="O75" s="201" t="n"/>
      <c r="P75" s="75">
        <f>P73+P74</f>
        <v/>
      </c>
    </row>
    <row r="76">
      <c r="A76" s="27" t="inlineStr">
        <is>
          <t>HST Check for final price should be the same as above</t>
        </is>
      </c>
      <c r="P76" s="29">
        <f>P73*1.13</f>
        <v/>
      </c>
    </row>
    <row r="84" ht="16.5" customHeight="1" thickBot="1"/>
    <row r="85" ht="32.25" customHeight="1" thickBot="1">
      <c r="B85" s="27" t="inlineStr">
        <is>
          <t>APS (Cost)</t>
        </is>
      </c>
      <c r="C85" s="93" t="inlineStr">
        <is>
          <t>Regular</t>
        </is>
      </c>
      <c r="D85" s="93" t="inlineStr">
        <is>
          <t>Regular W/truck</t>
        </is>
      </c>
      <c r="E85" s="199" t="n"/>
      <c r="F85" s="82" t="inlineStr">
        <is>
          <t>Double Time</t>
        </is>
      </c>
      <c r="G85" s="82" t="inlineStr">
        <is>
          <t>Double Time W/truck</t>
        </is>
      </c>
      <c r="H85" s="83" t="inlineStr">
        <is>
          <t>Shift 20%</t>
        </is>
      </c>
      <c r="I85" s="83" t="inlineStr">
        <is>
          <t>Shift 20% W/truck</t>
        </is>
      </c>
    </row>
    <row r="86">
      <c r="B86" s="77" t="inlineStr">
        <is>
          <t xml:space="preserve">FOREMAN                                          </t>
        </is>
      </c>
      <c r="C86" s="207" t="n">
        <v>98.20999999999999</v>
      </c>
      <c r="D86" s="207">
        <f>(C86+17)</f>
        <v/>
      </c>
      <c r="E86" s="206" t="n"/>
      <c r="F86" s="208" t="n">
        <v>196.41</v>
      </c>
      <c r="G86" s="208">
        <f>(F86+17)</f>
        <v/>
      </c>
      <c r="H86" s="209" t="n">
        <v>112.94</v>
      </c>
      <c r="I86" s="210">
        <f>H86+17</f>
        <v/>
      </c>
      <c r="J86" s="211" t="n"/>
      <c r="K86" s="211" t="n"/>
    </row>
    <row r="87">
      <c r="B87" s="77" t="inlineStr">
        <is>
          <t xml:space="preserve">JOURNEYMAN                                 </t>
        </is>
      </c>
      <c r="C87" s="212" t="n">
        <v>87.65000000000001</v>
      </c>
      <c r="D87" s="212">
        <f>(C87+17)</f>
        <v/>
      </c>
      <c r="E87" s="201" t="n"/>
      <c r="F87" s="213" t="n">
        <v>175.31</v>
      </c>
      <c r="G87" s="213">
        <f>(F87+17)</f>
        <v/>
      </c>
      <c r="H87" s="214" t="n">
        <v>100.8</v>
      </c>
      <c r="I87" s="215">
        <f>H87+17</f>
        <v/>
      </c>
      <c r="J87" s="211" t="n"/>
      <c r="K87" s="211" t="n"/>
    </row>
    <row r="88">
      <c r="B88" s="77" t="inlineStr">
        <is>
          <t xml:space="preserve">APPRENTICE #5                                </t>
        </is>
      </c>
      <c r="C88" s="212" t="n">
        <v>71.38</v>
      </c>
      <c r="D88" s="212">
        <f>(C88+17)</f>
        <v/>
      </c>
      <c r="E88" s="201" t="n"/>
      <c r="F88" s="213" t="n">
        <v>142.73</v>
      </c>
      <c r="G88" s="213">
        <f>(F88+17)</f>
        <v/>
      </c>
      <c r="H88" s="214" t="n">
        <v>82.09</v>
      </c>
      <c r="I88" s="215">
        <f>H88+17</f>
        <v/>
      </c>
      <c r="J88" s="211" t="n"/>
      <c r="K88" s="211" t="n"/>
    </row>
    <row r="89">
      <c r="B89" s="77" t="inlineStr">
        <is>
          <t xml:space="preserve">APPRENTICE #4                                </t>
        </is>
      </c>
      <c r="C89" s="212" t="n">
        <v>63.34</v>
      </c>
      <c r="D89" s="212">
        <f>(C89+17)</f>
        <v/>
      </c>
      <c r="E89" s="201" t="n"/>
      <c r="F89" s="213" t="n">
        <v>126.7</v>
      </c>
      <c r="G89" s="213">
        <f>(F89+17)</f>
        <v/>
      </c>
      <c r="H89" s="214" t="n">
        <v>72.84</v>
      </c>
      <c r="I89" s="215">
        <f>H89+17</f>
        <v/>
      </c>
      <c r="J89" s="211" t="n"/>
      <c r="K89" s="211" t="n"/>
    </row>
    <row r="90">
      <c r="B90" s="77" t="inlineStr">
        <is>
          <t xml:space="preserve">APPRENTICE #3                              </t>
        </is>
      </c>
      <c r="C90" s="212" t="n">
        <v>55.33</v>
      </c>
      <c r="D90" s="212">
        <f>(C90+17)</f>
        <v/>
      </c>
      <c r="E90" s="201" t="n"/>
      <c r="F90" s="213" t="n">
        <v>110.64</v>
      </c>
      <c r="G90" s="213">
        <f>(F90+17)</f>
        <v/>
      </c>
      <c r="H90" s="214" t="n">
        <v>63.63</v>
      </c>
      <c r="I90" s="215">
        <f>H90+17</f>
        <v/>
      </c>
      <c r="J90" s="211" t="n"/>
      <c r="K90" s="211" t="n"/>
    </row>
    <row r="91">
      <c r="B91" s="77" t="inlineStr">
        <is>
          <t xml:space="preserve">APPRENTICE #2                                 </t>
        </is>
      </c>
      <c r="C91" s="212" t="n">
        <v>47.3</v>
      </c>
      <c r="D91" s="212">
        <f>(C91+17)</f>
        <v/>
      </c>
      <c r="E91" s="201" t="n"/>
      <c r="F91" s="213" t="n">
        <v>94.59</v>
      </c>
      <c r="G91" s="213">
        <f>(F91+17)</f>
        <v/>
      </c>
      <c r="H91" s="214" t="n">
        <v>54.4</v>
      </c>
      <c r="I91" s="215">
        <f>H91+17</f>
        <v/>
      </c>
      <c r="J91" s="211" t="n"/>
      <c r="K91" s="211" t="n"/>
    </row>
    <row r="92">
      <c r="B92" s="77" t="inlineStr">
        <is>
          <t xml:space="preserve">APPRENTICE #1                                 </t>
        </is>
      </c>
      <c r="C92" s="212" t="n">
        <v>39.25</v>
      </c>
      <c r="D92" s="212">
        <f>(C92+17)</f>
        <v/>
      </c>
      <c r="E92" s="201" t="n"/>
      <c r="F92" s="213" t="n">
        <v>78.48999999999999</v>
      </c>
      <c r="G92" s="213">
        <f>(F92+17)</f>
        <v/>
      </c>
      <c r="H92" s="214" t="n">
        <v>45.14</v>
      </c>
      <c r="I92" s="215">
        <f>H92+17</f>
        <v/>
      </c>
      <c r="J92" s="211" t="n"/>
      <c r="K92" s="211" t="n"/>
    </row>
    <row r="93" ht="16.5" customHeight="1" thickBot="1">
      <c r="D93" s="216" t="n"/>
      <c r="E93" s="217" t="n"/>
    </row>
    <row r="94" ht="32.25" customHeight="1" thickBot="1">
      <c r="B94" s="27" t="inlineStr">
        <is>
          <t>APS (Sell)</t>
        </is>
      </c>
      <c r="C94" s="93" t="inlineStr">
        <is>
          <t>Regular</t>
        </is>
      </c>
      <c r="D94" s="93" t="inlineStr">
        <is>
          <t>Regular W/truck</t>
        </is>
      </c>
      <c r="E94" s="199" t="n"/>
      <c r="F94" s="82" t="inlineStr">
        <is>
          <t>Double Time</t>
        </is>
      </c>
      <c r="G94" s="82" t="inlineStr">
        <is>
          <t>Double Time W/truck</t>
        </is>
      </c>
      <c r="H94" s="83" t="inlineStr">
        <is>
          <t>Shift 20%</t>
        </is>
      </c>
      <c r="I94" s="83" t="inlineStr">
        <is>
          <t>Shift 20% W/truck</t>
        </is>
      </c>
      <c r="K94" s="33" t="inlineStr">
        <is>
          <t>Margin</t>
        </is>
      </c>
    </row>
    <row r="95">
      <c r="B95" s="77" t="inlineStr">
        <is>
          <t xml:space="preserve">FOREMAN                                          </t>
        </is>
      </c>
      <c r="C95" s="218">
        <f>C86/$K$95</f>
        <v/>
      </c>
      <c r="D95" s="219">
        <f>D86/$K$95</f>
        <v/>
      </c>
      <c r="E95" s="220" t="n"/>
      <c r="F95" s="218">
        <f>F86/$K$95</f>
        <v/>
      </c>
      <c r="G95" s="218">
        <f>G86/$K$95</f>
        <v/>
      </c>
      <c r="H95" s="218">
        <f>H86/$K$95</f>
        <v/>
      </c>
      <c r="I95" s="218">
        <f>I86/$K$95</f>
        <v/>
      </c>
      <c r="K95" s="5" t="n">
        <v>0.8</v>
      </c>
    </row>
    <row r="96">
      <c r="B96" s="77" t="inlineStr">
        <is>
          <t xml:space="preserve">JOURNEYMAN                                 </t>
        </is>
      </c>
      <c r="C96" s="218">
        <f>C87/$K$95</f>
        <v/>
      </c>
      <c r="D96" s="212">
        <f>D87/$K$95</f>
        <v/>
      </c>
      <c r="E96" s="201" t="n"/>
      <c r="F96" s="218">
        <f>F87/$K$95</f>
        <v/>
      </c>
      <c r="G96" s="218">
        <f>G87/$K$95</f>
        <v/>
      </c>
      <c r="H96" s="218">
        <f>H87/$K$95</f>
        <v/>
      </c>
      <c r="I96" s="218">
        <f>I87/$K$95</f>
        <v/>
      </c>
    </row>
    <row r="97">
      <c r="B97" s="77" t="inlineStr">
        <is>
          <t xml:space="preserve">APPRENTICE #5                                </t>
        </is>
      </c>
      <c r="C97" s="218">
        <f>C88/$K$95</f>
        <v/>
      </c>
      <c r="D97" s="212">
        <f>D88/$K$95</f>
        <v/>
      </c>
      <c r="E97" s="201" t="n"/>
      <c r="F97" s="218">
        <f>F88/$K$95</f>
        <v/>
      </c>
      <c r="G97" s="218">
        <f>G88/$K$95</f>
        <v/>
      </c>
      <c r="H97" s="218">
        <f>H88/$K$95</f>
        <v/>
      </c>
      <c r="I97" s="218">
        <f>I88/$K$95</f>
        <v/>
      </c>
    </row>
    <row r="98">
      <c r="B98" s="77" t="inlineStr">
        <is>
          <t xml:space="preserve">APPRENTICE #4                                </t>
        </is>
      </c>
      <c r="C98" s="218">
        <f>C89/$K$95</f>
        <v/>
      </c>
      <c r="D98" s="212">
        <f>D89/$K$95</f>
        <v/>
      </c>
      <c r="E98" s="201" t="n"/>
      <c r="F98" s="218">
        <f>F89/$K$95</f>
        <v/>
      </c>
      <c r="G98" s="218">
        <f>G89/$K$95</f>
        <v/>
      </c>
      <c r="H98" s="218">
        <f>H89/$K$95</f>
        <v/>
      </c>
      <c r="I98" s="218">
        <f>I89/$K$95</f>
        <v/>
      </c>
    </row>
    <row r="99">
      <c r="B99" s="77" t="inlineStr">
        <is>
          <t xml:space="preserve">APPRENTICE #3                              </t>
        </is>
      </c>
      <c r="C99" s="218">
        <f>C90/$K$95</f>
        <v/>
      </c>
      <c r="D99" s="212">
        <f>D90/$K$95</f>
        <v/>
      </c>
      <c r="E99" s="201" t="n"/>
      <c r="F99" s="218">
        <f>F90/$K$95</f>
        <v/>
      </c>
      <c r="G99" s="218">
        <f>G90/$K$95</f>
        <v/>
      </c>
      <c r="H99" s="218">
        <f>H90/$K$95</f>
        <v/>
      </c>
      <c r="I99" s="218">
        <f>I90/$K$95</f>
        <v/>
      </c>
    </row>
    <row r="100">
      <c r="B100" s="77" t="inlineStr">
        <is>
          <t xml:space="preserve">APPRENTICE #2                                 </t>
        </is>
      </c>
      <c r="C100" s="218">
        <f>C91/$K$95</f>
        <v/>
      </c>
      <c r="D100" s="212">
        <f>D91/$K$95</f>
        <v/>
      </c>
      <c r="E100" s="201" t="n"/>
      <c r="F100" s="218">
        <f>F91/$K$95</f>
        <v/>
      </c>
      <c r="G100" s="218">
        <f>G91/$K$95</f>
        <v/>
      </c>
      <c r="H100" s="218">
        <f>H91/$K$95</f>
        <v/>
      </c>
      <c r="I100" s="218">
        <f>I91/$K$95</f>
        <v/>
      </c>
    </row>
    <row r="101">
      <c r="B101" s="77" t="inlineStr">
        <is>
          <t xml:space="preserve">APPRENTICE #1                                 </t>
        </is>
      </c>
      <c r="C101" s="218">
        <f>C92/$K$95</f>
        <v/>
      </c>
      <c r="D101" s="212">
        <f>D92/$K$95</f>
        <v/>
      </c>
      <c r="E101" s="201" t="n"/>
      <c r="F101" s="218">
        <f>F92/$K$95</f>
        <v/>
      </c>
      <c r="G101" s="218">
        <f>G92/$K$95</f>
        <v/>
      </c>
      <c r="H101" s="218">
        <f>H92/$K$95</f>
        <v/>
      </c>
      <c r="I101" s="218">
        <f>I92/$K$95</f>
        <v/>
      </c>
    </row>
    <row r="102">
      <c r="D102" s="221" t="n"/>
    </row>
    <row r="103">
      <c r="D103" s="221" t="n"/>
    </row>
    <row r="104">
      <c r="B104" s="27" t="inlineStr">
        <is>
          <t>Bonding</t>
        </is>
      </c>
      <c r="C104" s="27" t="inlineStr">
        <is>
          <t>rate/Moths</t>
        </is>
      </c>
    </row>
    <row r="105">
      <c r="B105" s="27" t="inlineStr">
        <is>
          <t>First $2.5M</t>
        </is>
      </c>
      <c r="C105" s="27" t="n">
        <v>8.699999999999999</v>
      </c>
      <c r="G105" s="221" t="n">
        <v>2500000</v>
      </c>
      <c r="I105" s="211">
        <f>G105/1000*C105</f>
        <v/>
      </c>
    </row>
    <row r="106">
      <c r="B106" s="27" t="inlineStr">
        <is>
          <t>Second $2.5M</t>
        </is>
      </c>
      <c r="C106" s="27" t="n">
        <v>7.9</v>
      </c>
      <c r="G106" s="221" t="n">
        <v>2500000</v>
      </c>
      <c r="I106" s="211">
        <f>G106/1000*C106</f>
        <v/>
      </c>
    </row>
    <row r="107">
      <c r="B107" s="27" t="inlineStr">
        <is>
          <t>Third $2.5M</t>
        </is>
      </c>
      <c r="C107" s="27" t="n">
        <v>6.95</v>
      </c>
      <c r="G107" s="221" t="n">
        <v>2500000</v>
      </c>
      <c r="I107" s="211">
        <f>G107/1000*C107</f>
        <v/>
      </c>
    </row>
    <row r="108">
      <c r="B108" s="27" t="inlineStr">
        <is>
          <t>Subtotal</t>
        </is>
      </c>
      <c r="I108" s="211">
        <f>I105+I106+I107</f>
        <v/>
      </c>
    </row>
    <row r="109">
      <c r="B109" s="27" t="inlineStr">
        <is>
          <t>after 24 months</t>
        </is>
      </c>
      <c r="C109" s="27" t="n">
        <v>12</v>
      </c>
      <c r="I109" s="211">
        <f>I108*C109*0.01</f>
        <v/>
      </c>
    </row>
    <row r="110">
      <c r="B110" s="27" t="inlineStr">
        <is>
          <t>Grand Total for Bond</t>
        </is>
      </c>
      <c r="I110" s="211">
        <f>I108+I109</f>
        <v/>
      </c>
    </row>
    <row r="111">
      <c r="B111" s="27" t="inlineStr">
        <is>
          <t>Sell Price</t>
        </is>
      </c>
      <c r="I111" s="211">
        <f>I110/0.9</f>
        <v/>
      </c>
    </row>
    <row r="114">
      <c r="F114" s="21" t="n"/>
      <c r="G114" s="21" t="n"/>
    </row>
    <row r="115">
      <c r="F115" s="21" t="n"/>
      <c r="G115" s="77" t="n"/>
    </row>
    <row r="116">
      <c r="F116" s="21" t="n"/>
      <c r="G116" s="77" t="n"/>
    </row>
    <row r="117">
      <c r="F117" s="21" t="n"/>
      <c r="G117" s="77" t="n"/>
    </row>
    <row r="118">
      <c r="F118" s="21" t="n"/>
      <c r="G118" s="77" t="n"/>
    </row>
    <row r="119">
      <c r="F119" s="21" t="n"/>
      <c r="G119" s="77" t="n"/>
    </row>
  </sheetData>
  <mergeCells count="249">
    <mergeCell ref="A69:O69"/>
    <mergeCell ref="K49:L49"/>
    <mergeCell ref="M43:N43"/>
    <mergeCell ref="D100:E100"/>
    <mergeCell ref="M59:N59"/>
    <mergeCell ref="K33:L33"/>
    <mergeCell ref="A75:O75"/>
    <mergeCell ref="A68:P68"/>
    <mergeCell ref="K35:L35"/>
    <mergeCell ref="E51:F51"/>
    <mergeCell ref="M60:N60"/>
    <mergeCell ref="M35:N35"/>
    <mergeCell ref="D86:E86"/>
    <mergeCell ref="C54:D54"/>
    <mergeCell ref="M54:N54"/>
    <mergeCell ref="K50:L50"/>
    <mergeCell ref="C41:D41"/>
    <mergeCell ref="G57:H57"/>
    <mergeCell ref="C50:D50"/>
    <mergeCell ref="I4:N4"/>
    <mergeCell ref="C56:D56"/>
    <mergeCell ref="I58:J58"/>
    <mergeCell ref="K58:L58"/>
    <mergeCell ref="E34:F34"/>
    <mergeCell ref="C43:D43"/>
    <mergeCell ref="K52:L52"/>
    <mergeCell ref="G34:H34"/>
    <mergeCell ref="M29:N29"/>
    <mergeCell ref="A26:E26"/>
    <mergeCell ref="I42:J42"/>
    <mergeCell ref="E49:F49"/>
    <mergeCell ref="K42:L42"/>
    <mergeCell ref="G58:H58"/>
    <mergeCell ref="M33:N33"/>
    <mergeCell ref="M45:N45"/>
    <mergeCell ref="I52:J52"/>
    <mergeCell ref="A67:O67"/>
    <mergeCell ref="I44:J44"/>
    <mergeCell ref="K53:L53"/>
    <mergeCell ref="A73:O73"/>
    <mergeCell ref="M47:N47"/>
    <mergeCell ref="D98:E98"/>
    <mergeCell ref="K28:L28"/>
    <mergeCell ref="C28:D28"/>
    <mergeCell ref="E53:F53"/>
    <mergeCell ref="M50:N50"/>
    <mergeCell ref="G44:H44"/>
    <mergeCell ref="D88:E88"/>
    <mergeCell ref="I30:J30"/>
    <mergeCell ref="G59:H59"/>
    <mergeCell ref="K30:L30"/>
    <mergeCell ref="C30:D30"/>
    <mergeCell ref="E55:F55"/>
    <mergeCell ref="I46:J46"/>
    <mergeCell ref="D90:E90"/>
    <mergeCell ref="M44:N44"/>
    <mergeCell ref="D99:E99"/>
    <mergeCell ref="C45:D45"/>
    <mergeCell ref="O4:O5"/>
    <mergeCell ref="G61:H61"/>
    <mergeCell ref="I61:J61"/>
    <mergeCell ref="E48:F48"/>
    <mergeCell ref="K55:L55"/>
    <mergeCell ref="G48:H48"/>
    <mergeCell ref="I57:J57"/>
    <mergeCell ref="D101:E101"/>
    <mergeCell ref="K51:L51"/>
    <mergeCell ref="C47:D47"/>
    <mergeCell ref="M51:N51"/>
    <mergeCell ref="I54:J54"/>
    <mergeCell ref="I14:K14"/>
    <mergeCell ref="G38:H38"/>
    <mergeCell ref="I32:J32"/>
    <mergeCell ref="E38:F38"/>
    <mergeCell ref="K32:L32"/>
    <mergeCell ref="I41:J41"/>
    <mergeCell ref="K41:L41"/>
    <mergeCell ref="C40:D40"/>
    <mergeCell ref="E40:F40"/>
    <mergeCell ref="A62:O62"/>
    <mergeCell ref="I56:J56"/>
    <mergeCell ref="K56:L56"/>
    <mergeCell ref="G49:H49"/>
    <mergeCell ref="I43:J43"/>
    <mergeCell ref="K43:L43"/>
    <mergeCell ref="C60:D60"/>
    <mergeCell ref="G33:H33"/>
    <mergeCell ref="D103:E103"/>
    <mergeCell ref="I33:J33"/>
    <mergeCell ref="M41:N41"/>
    <mergeCell ref="A14:E14"/>
    <mergeCell ref="G25:G26"/>
    <mergeCell ref="G35:H35"/>
    <mergeCell ref="I35:J35"/>
    <mergeCell ref="A37:P37"/>
    <mergeCell ref="C57:D57"/>
    <mergeCell ref="D89:E89"/>
    <mergeCell ref="I59:J59"/>
    <mergeCell ref="C4:H4"/>
    <mergeCell ref="G60:H60"/>
    <mergeCell ref="C53:D53"/>
    <mergeCell ref="M53:N53"/>
    <mergeCell ref="E58:F58"/>
    <mergeCell ref="I60:J60"/>
    <mergeCell ref="E50:F50"/>
    <mergeCell ref="C34:D34"/>
    <mergeCell ref="M34:N34"/>
    <mergeCell ref="M55:N55"/>
    <mergeCell ref="G42:H42"/>
    <mergeCell ref="A1:P2"/>
    <mergeCell ref="C58:D58"/>
    <mergeCell ref="M52:N52"/>
    <mergeCell ref="I45:J45"/>
    <mergeCell ref="E52:F52"/>
    <mergeCell ref="M49:N49"/>
    <mergeCell ref="K45:L45"/>
    <mergeCell ref="A74:O74"/>
    <mergeCell ref="M39:N39"/>
    <mergeCell ref="K54:L54"/>
    <mergeCell ref="D96:E96"/>
    <mergeCell ref="M48:N48"/>
    <mergeCell ref="E39:F39"/>
    <mergeCell ref="E44:F44"/>
    <mergeCell ref="G39:H39"/>
    <mergeCell ref="K60:L60"/>
    <mergeCell ref="K29:L29"/>
    <mergeCell ref="C29:D29"/>
    <mergeCell ref="I47:J47"/>
    <mergeCell ref="E29:F29"/>
    <mergeCell ref="K47:L47"/>
    <mergeCell ref="A25:E25"/>
    <mergeCell ref="M25:M26"/>
    <mergeCell ref="O25:O26"/>
    <mergeCell ref="K44:L44"/>
    <mergeCell ref="C44:D44"/>
    <mergeCell ref="K31:L31"/>
    <mergeCell ref="K46:L46"/>
    <mergeCell ref="C31:D31"/>
    <mergeCell ref="K40:L40"/>
    <mergeCell ref="M31:N31"/>
    <mergeCell ref="E31:F31"/>
    <mergeCell ref="M40:N40"/>
    <mergeCell ref="D91:E91"/>
    <mergeCell ref="C59:D59"/>
    <mergeCell ref="E59:F59"/>
    <mergeCell ref="C46:D46"/>
    <mergeCell ref="E46:F46"/>
    <mergeCell ref="A4:A5"/>
    <mergeCell ref="C51:D51"/>
    <mergeCell ref="A6:P6"/>
    <mergeCell ref="D93:E93"/>
    <mergeCell ref="C61:D61"/>
    <mergeCell ref="E61:F61"/>
    <mergeCell ref="D102:E102"/>
    <mergeCell ref="A16:P16"/>
    <mergeCell ref="C48:D48"/>
    <mergeCell ref="E57:F57"/>
    <mergeCell ref="G51:H51"/>
    <mergeCell ref="D92:E92"/>
    <mergeCell ref="I51:J51"/>
    <mergeCell ref="B4:B5"/>
    <mergeCell ref="E54:F54"/>
    <mergeCell ref="A66:P66"/>
    <mergeCell ref="C38:D38"/>
    <mergeCell ref="G54:H54"/>
    <mergeCell ref="C32:D32"/>
    <mergeCell ref="E32:F32"/>
    <mergeCell ref="E41:F41"/>
    <mergeCell ref="A36:O36"/>
    <mergeCell ref="M38:N38"/>
    <mergeCell ref="G41:H41"/>
    <mergeCell ref="G32:H32"/>
    <mergeCell ref="K57:L57"/>
    <mergeCell ref="G50:H50"/>
    <mergeCell ref="G106:H106"/>
    <mergeCell ref="D85:E85"/>
    <mergeCell ref="I50:J50"/>
    <mergeCell ref="A3:P3"/>
    <mergeCell ref="D94:E94"/>
    <mergeCell ref="P4:P5"/>
    <mergeCell ref="E56:F56"/>
    <mergeCell ref="G56:H56"/>
    <mergeCell ref="M58:N58"/>
    <mergeCell ref="C49:D49"/>
    <mergeCell ref="E43:F43"/>
    <mergeCell ref="G105:H105"/>
    <mergeCell ref="I34:J34"/>
    <mergeCell ref="A65:O65"/>
    <mergeCell ref="G43:H43"/>
    <mergeCell ref="K34:L34"/>
    <mergeCell ref="G52:H52"/>
    <mergeCell ref="C33:D33"/>
    <mergeCell ref="E33:F33"/>
    <mergeCell ref="C42:D42"/>
    <mergeCell ref="I49:J49"/>
    <mergeCell ref="E42:F42"/>
    <mergeCell ref="G107:H107"/>
    <mergeCell ref="A72:P72"/>
    <mergeCell ref="C35:D35"/>
    <mergeCell ref="E35:F35"/>
    <mergeCell ref="D95:E95"/>
    <mergeCell ref="A71:O71"/>
    <mergeCell ref="C55:D55"/>
    <mergeCell ref="E28:F28"/>
    <mergeCell ref="G53:H53"/>
    <mergeCell ref="G28:H28"/>
    <mergeCell ref="I53:J53"/>
    <mergeCell ref="I28:J28"/>
    <mergeCell ref="D97:E97"/>
    <mergeCell ref="E60:F60"/>
    <mergeCell ref="A15:P15"/>
    <mergeCell ref="M30:N30"/>
    <mergeCell ref="K59:L59"/>
    <mergeCell ref="D87:E87"/>
    <mergeCell ref="E30:F30"/>
    <mergeCell ref="G30:H30"/>
    <mergeCell ref="I55:J55"/>
    <mergeCell ref="A70:P70"/>
    <mergeCell ref="M46:N46"/>
    <mergeCell ref="M28:N28"/>
    <mergeCell ref="E45:F45"/>
    <mergeCell ref="M42:N42"/>
    <mergeCell ref="I25:K26"/>
    <mergeCell ref="G45:H45"/>
    <mergeCell ref="C52:D52"/>
    <mergeCell ref="K61:L61"/>
    <mergeCell ref="I39:J39"/>
    <mergeCell ref="K39:L39"/>
    <mergeCell ref="M61:N61"/>
    <mergeCell ref="I48:J48"/>
    <mergeCell ref="C39:D39"/>
    <mergeCell ref="K48:L48"/>
    <mergeCell ref="G55:H55"/>
    <mergeCell ref="G29:H29"/>
    <mergeCell ref="A63:P64"/>
    <mergeCell ref="M57:N57"/>
    <mergeCell ref="I29:J29"/>
    <mergeCell ref="I38:J38"/>
    <mergeCell ref="G47:H47"/>
    <mergeCell ref="K38:L38"/>
    <mergeCell ref="M32:N32"/>
    <mergeCell ref="A27:P27"/>
    <mergeCell ref="G31:H31"/>
    <mergeCell ref="G46:H46"/>
    <mergeCell ref="I31:J31"/>
    <mergeCell ref="G40:H40"/>
    <mergeCell ref="I40:J40"/>
    <mergeCell ref="E47:F47"/>
    <mergeCell ref="M56:N56"/>
  </mergeCells>
  <dataValidations count="1">
    <dataValidation sqref="K95 O7:O13 O17:O24 O29:O35 O39:O61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portrait" paperSize="17" scale="72" fitToHeight="0" horizontalDpi="300" verticalDpi="300"/>
  <colBreaks count="1" manualBreakCount="1">
    <brk id="16" min="0" max="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GDI Ainsworth</dc:creator>
  <dcterms:created xsi:type="dcterms:W3CDTF">2010-08-27T19:16:32Z</dcterms:created>
  <dcterms:modified xsi:type="dcterms:W3CDTF">2026-08-24T22:55:47Z</dcterms:modified>
  <cp:lastModifiedBy>GDI Ainsworth</cp:lastModifiedBy>
</cp:coreProperties>
</file>