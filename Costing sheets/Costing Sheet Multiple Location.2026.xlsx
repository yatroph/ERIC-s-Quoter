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gdi365-my.sharepoint.com/personal/eric_riaboy_ainsworth_com/Documents/Desktop/Ainsworth/Marketing/Proposals and Quotes/"/>
    </mc:Choice>
  </mc:AlternateContent>
  <xr:revisionPtr revIDLastSave="31" documentId="8_{B05E13F7-B1CF-4F55-94DC-3B17C80A6B8C}" xr6:coauthVersionLast="47" xr6:coauthVersionMax="47" xr10:uidLastSave="{9E86DC11-B1B2-4F5D-98FB-F48001D8E413}"/>
  <bookViews>
    <workbookView xWindow="28680" yWindow="-120" windowWidth="29040" windowHeight="15720" tabRatio="679" activeTab="1" xr2:uid="{00000000-000D-0000-FFFF-FFFF00000000}"/>
  </bookViews>
  <sheets>
    <sheet name="Cost Summary" sheetId="2" r:id="rId1"/>
    <sheet name="Location 1" sheetId="23" r:id="rId2"/>
    <sheet name="Location 2" sheetId="30" r:id="rId3"/>
    <sheet name="Location 3" sheetId="31" r:id="rId4"/>
    <sheet name="Location 4" sheetId="32" r:id="rId5"/>
    <sheet name="Location 5" sheetId="33" r:id="rId6"/>
    <sheet name="Location 6" sheetId="34" r:id="rId7"/>
    <sheet name="Option 1" sheetId="35" r:id="rId8"/>
  </sheets>
  <definedNames>
    <definedName name="Costing_Sheet_Multiple_Location.2023.xlsx" localSheetId="1">'Cost Summary'!$B$21</definedName>
    <definedName name="Costing_Sheet_Multiple_Location.2023.xlsx" localSheetId="2">'Cost Summary'!$B$21</definedName>
    <definedName name="Costing_Sheet_Multiple_Location.2023.xlsx" localSheetId="3">'Cost Summary'!$B$21</definedName>
    <definedName name="Costing_Sheet_Multiple_Location.2023.xlsx" localSheetId="4">'Cost Summary'!$B$21</definedName>
    <definedName name="Costing_Sheet_Multiple_Location.2023.xlsx" localSheetId="5">'Cost Summary'!$B$21</definedName>
    <definedName name="Costing_Sheet_Multiple_Location.2023.xlsx" localSheetId="6">'Cost Summary'!$B$21</definedName>
    <definedName name="Costing_Sheet_Multiple_Location.2023.xlsx" localSheetId="7">'Cost Summary'!$B$21</definedName>
    <definedName name="p">'Cost Summary'!$B$21</definedName>
    <definedName name="_xlnm.Print_Area" localSheetId="0">'Cost Summary'!$A$1:$J$32</definedName>
    <definedName name="_xlnm.Print_Area" localSheetId="1">'Location 1'!$A$1:$P$42</definedName>
    <definedName name="_xlnm.Print_Area" localSheetId="2">'Location 2'!$A$1:$P$44</definedName>
    <definedName name="_xlnm.Print_Area" localSheetId="3">'Location 3'!$A$1:$P$62</definedName>
    <definedName name="_xlnm.Print_Area" localSheetId="4">'Location 4'!$A$1:$P$62</definedName>
    <definedName name="_xlnm.Print_Area" localSheetId="5">'Location 5'!$A$1:$P$62</definedName>
    <definedName name="_xlnm.Print_Area" localSheetId="6">'Location 6'!$A$1:$P$62</definedName>
    <definedName name="_xlnm.Print_Area" localSheetId="7">'Option 1'!$A$1:$P$62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7" i="30" l="1"/>
  <c r="I96" i="30"/>
  <c r="I95" i="30"/>
  <c r="I98" i="30" s="1"/>
  <c r="H91" i="30"/>
  <c r="F91" i="30"/>
  <c r="C91" i="30"/>
  <c r="I90" i="30"/>
  <c r="H90" i="30"/>
  <c r="F90" i="30"/>
  <c r="C90" i="30"/>
  <c r="H89" i="30"/>
  <c r="G89" i="30"/>
  <c r="F89" i="30"/>
  <c r="C89" i="30"/>
  <c r="I88" i="30"/>
  <c r="H88" i="30"/>
  <c r="F88" i="30"/>
  <c r="C88" i="30"/>
  <c r="H87" i="30"/>
  <c r="F87" i="30"/>
  <c r="C87" i="30"/>
  <c r="H86" i="30"/>
  <c r="G86" i="30"/>
  <c r="F86" i="30"/>
  <c r="C86" i="30"/>
  <c r="H85" i="30"/>
  <c r="F85" i="30"/>
  <c r="C85" i="30"/>
  <c r="I84" i="30"/>
  <c r="H84" i="30"/>
  <c r="G84" i="30"/>
  <c r="F84" i="30"/>
  <c r="D84" i="30"/>
  <c r="C84" i="30"/>
  <c r="I81" i="30"/>
  <c r="I91" i="30" s="1"/>
  <c r="G81" i="30"/>
  <c r="G91" i="30" s="1"/>
  <c r="D81" i="30"/>
  <c r="D91" i="30" s="1"/>
  <c r="I80" i="30"/>
  <c r="G80" i="30"/>
  <c r="G90" i="30" s="1"/>
  <c r="D80" i="30"/>
  <c r="D90" i="30" s="1"/>
  <c r="I79" i="30"/>
  <c r="I89" i="30" s="1"/>
  <c r="G79" i="30"/>
  <c r="D79" i="30"/>
  <c r="D89" i="30" s="1"/>
  <c r="I78" i="30"/>
  <c r="G78" i="30"/>
  <c r="G88" i="30" s="1"/>
  <c r="D78" i="30"/>
  <c r="D88" i="30" s="1"/>
  <c r="I77" i="30"/>
  <c r="I87" i="30" s="1"/>
  <c r="G77" i="30"/>
  <c r="G87" i="30" s="1"/>
  <c r="D77" i="30"/>
  <c r="D87" i="30" s="1"/>
  <c r="I76" i="30"/>
  <c r="I86" i="30" s="1"/>
  <c r="G76" i="30"/>
  <c r="D76" i="30"/>
  <c r="D86" i="30" s="1"/>
  <c r="I75" i="30"/>
  <c r="I85" i="30" s="1"/>
  <c r="G75" i="30"/>
  <c r="G85" i="30" s="1"/>
  <c r="D75" i="30"/>
  <c r="D85" i="30" s="1"/>
  <c r="I74" i="30"/>
  <c r="G74" i="30"/>
  <c r="D74" i="30"/>
  <c r="I79" i="23"/>
  <c r="H79" i="23"/>
  <c r="G79" i="23"/>
  <c r="F79" i="23"/>
  <c r="D79" i="23"/>
  <c r="C79" i="23"/>
  <c r="I63" i="23"/>
  <c r="I64" i="23"/>
  <c r="I65" i="23"/>
  <c r="I66" i="23"/>
  <c r="I67" i="23"/>
  <c r="I68" i="23"/>
  <c r="I69" i="23"/>
  <c r="I62" i="23"/>
  <c r="G63" i="23"/>
  <c r="G64" i="23"/>
  <c r="G65" i="23"/>
  <c r="G66" i="23"/>
  <c r="G67" i="23"/>
  <c r="G68" i="23"/>
  <c r="G69" i="23"/>
  <c r="G62" i="23"/>
  <c r="D63" i="23"/>
  <c r="D64" i="23"/>
  <c r="D65" i="23"/>
  <c r="D66" i="23"/>
  <c r="D67" i="23"/>
  <c r="D68" i="23"/>
  <c r="D69" i="23"/>
  <c r="D62" i="23"/>
  <c r="I99" i="30" l="1"/>
  <c r="I100" i="30" s="1"/>
  <c r="I101" i="30" s="1"/>
  <c r="L24" i="23"/>
  <c r="R1" i="35" a="1"/>
  <c r="R1" i="35" s="1"/>
  <c r="B30" i="2" s="1"/>
  <c r="R1" i="34" a="1"/>
  <c r="R1" i="34" s="1"/>
  <c r="B26" i="2" s="1"/>
  <c r="R1" i="33" a="1"/>
  <c r="R1" i="33" s="1"/>
  <c r="B25" i="2" s="1"/>
  <c r="A1" i="23" a="1"/>
  <c r="A1" i="23" s="1"/>
  <c r="A1" i="30" a="1"/>
  <c r="A1" i="30" s="1"/>
  <c r="A1" i="31" a="1"/>
  <c r="A1" i="31" s="1"/>
  <c r="A1" i="32" a="1"/>
  <c r="A1" i="32" s="1"/>
  <c r="A1" i="33" a="1"/>
  <c r="A1" i="33" s="1"/>
  <c r="A1" i="35" a="1"/>
  <c r="A1" i="35" s="1"/>
  <c r="A1" i="34" a="1"/>
  <c r="A1" i="34" s="1"/>
  <c r="T6" i="35"/>
  <c r="R1" i="32" a="1"/>
  <c r="R1" i="32" s="1"/>
  <c r="B24" i="2" s="1"/>
  <c r="R1" i="31" a="1"/>
  <c r="R1" i="31" s="1"/>
  <c r="B23" i="2" s="1"/>
  <c r="R1" i="30" a="1"/>
  <c r="R1" i="30" s="1"/>
  <c r="B22" i="2" s="1"/>
  <c r="R1" i="23" a="1"/>
  <c r="R1" i="23" s="1"/>
  <c r="B21" i="2" s="1"/>
  <c r="F18" i="23"/>
  <c r="F19" i="23"/>
  <c r="F20" i="23"/>
  <c r="F21" i="23"/>
  <c r="F22" i="23"/>
  <c r="F23" i="23"/>
  <c r="F24" i="23"/>
  <c r="F25" i="23"/>
  <c r="F17" i="23"/>
  <c r="L17" i="23"/>
  <c r="I82" i="2"/>
  <c r="I81" i="2"/>
  <c r="I80" i="2"/>
  <c r="H76" i="2"/>
  <c r="F76" i="2"/>
  <c r="C76" i="2"/>
  <c r="H75" i="2"/>
  <c r="F75" i="2"/>
  <c r="C75" i="2"/>
  <c r="H74" i="2"/>
  <c r="F74" i="2"/>
  <c r="C74" i="2"/>
  <c r="H73" i="2"/>
  <c r="F73" i="2"/>
  <c r="C73" i="2"/>
  <c r="H72" i="2"/>
  <c r="F72" i="2"/>
  <c r="C72" i="2"/>
  <c r="H71" i="2"/>
  <c r="F71" i="2"/>
  <c r="C71" i="2"/>
  <c r="H70" i="2"/>
  <c r="F70" i="2"/>
  <c r="C70" i="2"/>
  <c r="I67" i="2"/>
  <c r="I76" i="2" s="1"/>
  <c r="G67" i="2"/>
  <c r="G76" i="2" s="1"/>
  <c r="D67" i="2"/>
  <c r="D76" i="2" s="1"/>
  <c r="I66" i="2"/>
  <c r="I75" i="2" s="1"/>
  <c r="G66" i="2"/>
  <c r="G75" i="2" s="1"/>
  <c r="D66" i="2"/>
  <c r="D75" i="2" s="1"/>
  <c r="I65" i="2"/>
  <c r="I74" i="2" s="1"/>
  <c r="G65" i="2"/>
  <c r="G74" i="2" s="1"/>
  <c r="D65" i="2"/>
  <c r="D74" i="2" s="1"/>
  <c r="I64" i="2"/>
  <c r="I73" i="2" s="1"/>
  <c r="G64" i="2"/>
  <c r="G73" i="2" s="1"/>
  <c r="D64" i="2"/>
  <c r="D73" i="2" s="1"/>
  <c r="I63" i="2"/>
  <c r="I72" i="2" s="1"/>
  <c r="G63" i="2"/>
  <c r="G72" i="2" s="1"/>
  <c r="D63" i="2"/>
  <c r="D72" i="2" s="1"/>
  <c r="I62" i="2"/>
  <c r="I71" i="2" s="1"/>
  <c r="G62" i="2"/>
  <c r="G71" i="2" s="1"/>
  <c r="D62" i="2"/>
  <c r="D71" i="2" s="1"/>
  <c r="I61" i="2"/>
  <c r="I70" i="2" s="1"/>
  <c r="G61" i="2"/>
  <c r="G70" i="2" s="1"/>
  <c r="D61" i="2"/>
  <c r="D70" i="2" s="1"/>
  <c r="I107" i="35"/>
  <c r="I106" i="35"/>
  <c r="I105" i="35"/>
  <c r="I108" i="35" s="1"/>
  <c r="H101" i="35"/>
  <c r="G101" i="35"/>
  <c r="F101" i="35"/>
  <c r="D101" i="35"/>
  <c r="C101" i="35"/>
  <c r="I100" i="35"/>
  <c r="H100" i="35"/>
  <c r="F100" i="35"/>
  <c r="C100" i="35"/>
  <c r="H99" i="35"/>
  <c r="F99" i="35"/>
  <c r="D99" i="35"/>
  <c r="C99" i="35"/>
  <c r="I98" i="35"/>
  <c r="H98" i="35"/>
  <c r="G98" i="35"/>
  <c r="F98" i="35"/>
  <c r="C98" i="35"/>
  <c r="I97" i="35"/>
  <c r="H97" i="35"/>
  <c r="F97" i="35"/>
  <c r="C97" i="35"/>
  <c r="I96" i="35"/>
  <c r="H96" i="35"/>
  <c r="G96" i="35"/>
  <c r="F96" i="35"/>
  <c r="D96" i="35"/>
  <c r="C96" i="35"/>
  <c r="H95" i="35"/>
  <c r="F95" i="35"/>
  <c r="C95" i="35"/>
  <c r="I92" i="35"/>
  <c r="I101" i="35" s="1"/>
  <c r="G92" i="35"/>
  <c r="D92" i="35"/>
  <c r="I91" i="35"/>
  <c r="G91" i="35"/>
  <c r="G100" i="35" s="1"/>
  <c r="D91" i="35"/>
  <c r="D100" i="35" s="1"/>
  <c r="I90" i="35"/>
  <c r="I99" i="35" s="1"/>
  <c r="G90" i="35"/>
  <c r="G99" i="35" s="1"/>
  <c r="D90" i="35"/>
  <c r="I89" i="35"/>
  <c r="G89" i="35"/>
  <c r="D89" i="35"/>
  <c r="D98" i="35" s="1"/>
  <c r="I88" i="35"/>
  <c r="G88" i="35"/>
  <c r="G97" i="35" s="1"/>
  <c r="D88" i="35"/>
  <c r="D97" i="35" s="1"/>
  <c r="I87" i="35"/>
  <c r="G87" i="35"/>
  <c r="D87" i="35"/>
  <c r="I86" i="35"/>
  <c r="I95" i="35" s="1"/>
  <c r="G86" i="35"/>
  <c r="G95" i="35" s="1"/>
  <c r="D86" i="35"/>
  <c r="D95" i="35" s="1"/>
  <c r="I107" i="34"/>
  <c r="I106" i="34"/>
  <c r="I105" i="34"/>
  <c r="I108" i="34" s="1"/>
  <c r="H101" i="34"/>
  <c r="G101" i="34"/>
  <c r="F101" i="34"/>
  <c r="D101" i="34"/>
  <c r="C101" i="34"/>
  <c r="I100" i="34"/>
  <c r="H100" i="34"/>
  <c r="F100" i="34"/>
  <c r="C100" i="34"/>
  <c r="H99" i="34"/>
  <c r="G99" i="34"/>
  <c r="F99" i="34"/>
  <c r="D99" i="34"/>
  <c r="C99" i="34"/>
  <c r="I98" i="34"/>
  <c r="H98" i="34"/>
  <c r="G98" i="34"/>
  <c r="F98" i="34"/>
  <c r="D98" i="34"/>
  <c r="C98" i="34"/>
  <c r="I97" i="34"/>
  <c r="H97" i="34"/>
  <c r="F97" i="34"/>
  <c r="C97" i="34"/>
  <c r="I96" i="34"/>
  <c r="H96" i="34"/>
  <c r="G96" i="34"/>
  <c r="F96" i="34"/>
  <c r="D96" i="34"/>
  <c r="C96" i="34"/>
  <c r="H95" i="34"/>
  <c r="F95" i="34"/>
  <c r="C95" i="34"/>
  <c r="I92" i="34"/>
  <c r="I101" i="34" s="1"/>
  <c r="G92" i="34"/>
  <c r="D92" i="34"/>
  <c r="I91" i="34"/>
  <c r="G91" i="34"/>
  <c r="G100" i="34" s="1"/>
  <c r="D91" i="34"/>
  <c r="D100" i="34" s="1"/>
  <c r="I90" i="34"/>
  <c r="I99" i="34" s="1"/>
  <c r="G90" i="34"/>
  <c r="D90" i="34"/>
  <c r="I89" i="34"/>
  <c r="G89" i="34"/>
  <c r="D89" i="34"/>
  <c r="I88" i="34"/>
  <c r="G88" i="34"/>
  <c r="G97" i="34" s="1"/>
  <c r="D88" i="34"/>
  <c r="D97" i="34" s="1"/>
  <c r="I87" i="34"/>
  <c r="G87" i="34"/>
  <c r="D87" i="34"/>
  <c r="I86" i="34"/>
  <c r="I95" i="34" s="1"/>
  <c r="G86" i="34"/>
  <c r="G95" i="34" s="1"/>
  <c r="D86" i="34"/>
  <c r="D95" i="34" s="1"/>
  <c r="I107" i="33"/>
  <c r="I106" i="33"/>
  <c r="I105" i="33"/>
  <c r="I108" i="33" s="1"/>
  <c r="H101" i="33"/>
  <c r="F101" i="33"/>
  <c r="C101" i="33"/>
  <c r="H100" i="33"/>
  <c r="F100" i="33"/>
  <c r="C100" i="33"/>
  <c r="H99" i="33"/>
  <c r="G99" i="33"/>
  <c r="F99" i="33"/>
  <c r="C99" i="33"/>
  <c r="I98" i="33"/>
  <c r="H98" i="33"/>
  <c r="G98" i="33"/>
  <c r="F98" i="33"/>
  <c r="D98" i="33"/>
  <c r="C98" i="33"/>
  <c r="H97" i="33"/>
  <c r="F97" i="33"/>
  <c r="C97" i="33"/>
  <c r="I96" i="33"/>
  <c r="H96" i="33"/>
  <c r="F96" i="33"/>
  <c r="C96" i="33"/>
  <c r="H95" i="33"/>
  <c r="F95" i="33"/>
  <c r="C95" i="33"/>
  <c r="I92" i="33"/>
  <c r="I101" i="33" s="1"/>
  <c r="G92" i="33"/>
  <c r="G101" i="33" s="1"/>
  <c r="D92" i="33"/>
  <c r="D101" i="33" s="1"/>
  <c r="I91" i="33"/>
  <c r="I100" i="33" s="1"/>
  <c r="G91" i="33"/>
  <c r="G100" i="33" s="1"/>
  <c r="D91" i="33"/>
  <c r="D100" i="33" s="1"/>
  <c r="I90" i="33"/>
  <c r="I99" i="33" s="1"/>
  <c r="G90" i="33"/>
  <c r="D90" i="33"/>
  <c r="D99" i="33" s="1"/>
  <c r="I89" i="33"/>
  <c r="G89" i="33"/>
  <c r="D89" i="33"/>
  <c r="I88" i="33"/>
  <c r="I97" i="33" s="1"/>
  <c r="G88" i="33"/>
  <c r="G97" i="33" s="1"/>
  <c r="D88" i="33"/>
  <c r="D97" i="33" s="1"/>
  <c r="I87" i="33"/>
  <c r="G87" i="33"/>
  <c r="G96" i="33" s="1"/>
  <c r="D87" i="33"/>
  <c r="D96" i="33" s="1"/>
  <c r="I86" i="33"/>
  <c r="I95" i="33" s="1"/>
  <c r="G86" i="33"/>
  <c r="G95" i="33" s="1"/>
  <c r="D86" i="33"/>
  <c r="D95" i="33" s="1"/>
  <c r="I107" i="32"/>
  <c r="I106" i="32"/>
  <c r="I105" i="32"/>
  <c r="I108" i="32" s="1"/>
  <c r="H101" i="32"/>
  <c r="G101" i="32"/>
  <c r="F101" i="32"/>
  <c r="D101" i="32"/>
  <c r="C101" i="32"/>
  <c r="I100" i="32"/>
  <c r="H100" i="32"/>
  <c r="F100" i="32"/>
  <c r="C100" i="32"/>
  <c r="H99" i="32"/>
  <c r="G99" i="32"/>
  <c r="F99" i="32"/>
  <c r="D99" i="32"/>
  <c r="C99" i="32"/>
  <c r="I98" i="32"/>
  <c r="H98" i="32"/>
  <c r="G98" i="32"/>
  <c r="F98" i="32"/>
  <c r="C98" i="32"/>
  <c r="H97" i="32"/>
  <c r="F97" i="32"/>
  <c r="C97" i="32"/>
  <c r="I96" i="32"/>
  <c r="H96" i="32"/>
  <c r="G96" i="32"/>
  <c r="F96" i="32"/>
  <c r="D96" i="32"/>
  <c r="C96" i="32"/>
  <c r="H95" i="32"/>
  <c r="F95" i="32"/>
  <c r="C95" i="32"/>
  <c r="I92" i="32"/>
  <c r="I101" i="32" s="1"/>
  <c r="G92" i="32"/>
  <c r="D92" i="32"/>
  <c r="I91" i="32"/>
  <c r="G91" i="32"/>
  <c r="G100" i="32" s="1"/>
  <c r="D91" i="32"/>
  <c r="D100" i="32" s="1"/>
  <c r="I90" i="32"/>
  <c r="I99" i="32" s="1"/>
  <c r="G90" i="32"/>
  <c r="D90" i="32"/>
  <c r="I89" i="32"/>
  <c r="G89" i="32"/>
  <c r="D89" i="32"/>
  <c r="D98" i="32" s="1"/>
  <c r="I88" i="32"/>
  <c r="I97" i="32" s="1"/>
  <c r="G88" i="32"/>
  <c r="G97" i="32" s="1"/>
  <c r="D88" i="32"/>
  <c r="D97" i="32" s="1"/>
  <c r="I87" i="32"/>
  <c r="G87" i="32"/>
  <c r="D87" i="32"/>
  <c r="I86" i="32"/>
  <c r="I95" i="32" s="1"/>
  <c r="G86" i="32"/>
  <c r="G95" i="32" s="1"/>
  <c r="D86" i="32"/>
  <c r="D95" i="32" s="1"/>
  <c r="I107" i="31"/>
  <c r="I106" i="31"/>
  <c r="I105" i="31"/>
  <c r="I108" i="31" s="1"/>
  <c r="H101" i="31"/>
  <c r="F101" i="31"/>
  <c r="D101" i="31"/>
  <c r="C101" i="31"/>
  <c r="I100" i="31"/>
  <c r="H100" i="31"/>
  <c r="F100" i="31"/>
  <c r="C100" i="31"/>
  <c r="H99" i="31"/>
  <c r="G99" i="31"/>
  <c r="F99" i="31"/>
  <c r="D99" i="31"/>
  <c r="C99" i="31"/>
  <c r="I98" i="31"/>
  <c r="H98" i="31"/>
  <c r="G98" i="31"/>
  <c r="F98" i="31"/>
  <c r="C98" i="31"/>
  <c r="H97" i="31"/>
  <c r="F97" i="31"/>
  <c r="D97" i="31"/>
  <c r="C97" i="31"/>
  <c r="I96" i="31"/>
  <c r="H96" i="31"/>
  <c r="G96" i="31"/>
  <c r="F96" i="31"/>
  <c r="D96" i="31"/>
  <c r="C96" i="31"/>
  <c r="H95" i="31"/>
  <c r="F95" i="31"/>
  <c r="C95" i="31"/>
  <c r="I92" i="31"/>
  <c r="I101" i="31" s="1"/>
  <c r="G92" i="31"/>
  <c r="G101" i="31" s="1"/>
  <c r="D92" i="31"/>
  <c r="I91" i="31"/>
  <c r="G91" i="31"/>
  <c r="G100" i="31" s="1"/>
  <c r="D91" i="31"/>
  <c r="D100" i="31" s="1"/>
  <c r="I90" i="31"/>
  <c r="I99" i="31" s="1"/>
  <c r="G90" i="31"/>
  <c r="D90" i="31"/>
  <c r="I89" i="31"/>
  <c r="G89" i="31"/>
  <c r="D89" i="31"/>
  <c r="D98" i="31" s="1"/>
  <c r="I88" i="31"/>
  <c r="I97" i="31" s="1"/>
  <c r="G88" i="31"/>
  <c r="G97" i="31" s="1"/>
  <c r="D88" i="31"/>
  <c r="I87" i="31"/>
  <c r="G87" i="31"/>
  <c r="D87" i="31"/>
  <c r="I86" i="31"/>
  <c r="I95" i="31" s="1"/>
  <c r="G86" i="31"/>
  <c r="G95" i="31" s="1"/>
  <c r="D86" i="31"/>
  <c r="D95" i="31" s="1"/>
  <c r="I85" i="23"/>
  <c r="I84" i="23"/>
  <c r="I83" i="23"/>
  <c r="H78" i="23"/>
  <c r="F78" i="23"/>
  <c r="C78" i="23"/>
  <c r="H77" i="23"/>
  <c r="F77" i="23"/>
  <c r="C77" i="23"/>
  <c r="H76" i="23"/>
  <c r="F76" i="23"/>
  <c r="C76" i="23"/>
  <c r="H75" i="23"/>
  <c r="F75" i="23"/>
  <c r="C75" i="23"/>
  <c r="H74" i="23"/>
  <c r="F74" i="23"/>
  <c r="C74" i="23"/>
  <c r="H73" i="23"/>
  <c r="F73" i="23"/>
  <c r="C73" i="23"/>
  <c r="H72" i="23"/>
  <c r="F72" i="23"/>
  <c r="C72" i="23"/>
  <c r="I78" i="23"/>
  <c r="G78" i="23"/>
  <c r="D78" i="23"/>
  <c r="I77" i="23"/>
  <c r="G77" i="23"/>
  <c r="D77" i="23"/>
  <c r="I76" i="23"/>
  <c r="G76" i="23"/>
  <c r="D76" i="23"/>
  <c r="I75" i="23"/>
  <c r="G75" i="23"/>
  <c r="D75" i="23"/>
  <c r="I74" i="23"/>
  <c r="G74" i="23"/>
  <c r="D74" i="23"/>
  <c r="I73" i="23"/>
  <c r="G73" i="23"/>
  <c r="D73" i="23"/>
  <c r="I72" i="23"/>
  <c r="G72" i="23"/>
  <c r="D72" i="23"/>
  <c r="I86" i="23" l="1"/>
  <c r="I87" i="23" s="1"/>
  <c r="I88" i="23" s="1"/>
  <c r="I89" i="23" s="1"/>
  <c r="I83" i="2"/>
  <c r="I84" i="2" s="1"/>
  <c r="I85" i="2" s="1"/>
  <c r="I86" i="2" s="1"/>
  <c r="I109" i="35"/>
  <c r="I110" i="35" s="1"/>
  <c r="I111" i="35" s="1"/>
  <c r="I109" i="34"/>
  <c r="I110" i="34"/>
  <c r="I111" i="34" s="1"/>
  <c r="I109" i="33"/>
  <c r="I110" i="33" s="1"/>
  <c r="I111" i="33" s="1"/>
  <c r="I109" i="32"/>
  <c r="I110" i="32" s="1"/>
  <c r="I111" i="32" s="1"/>
  <c r="I109" i="31"/>
  <c r="I110" i="31"/>
  <c r="I111" i="31" s="1"/>
  <c r="F13" i="35" l="1"/>
  <c r="F12" i="35"/>
  <c r="F13" i="34"/>
  <c r="F12" i="34"/>
  <c r="F13" i="33"/>
  <c r="F12" i="33"/>
  <c r="F13" i="32"/>
  <c r="F12" i="32"/>
  <c r="F13" i="31"/>
  <c r="F12" i="31"/>
  <c r="F13" i="30"/>
  <c r="F12" i="30"/>
  <c r="F12" i="2"/>
  <c r="F11" i="2"/>
  <c r="H11" i="2" s="1"/>
  <c r="J11" i="2" s="1"/>
  <c r="F10" i="2"/>
  <c r="F9" i="2"/>
  <c r="F8" i="2"/>
  <c r="F7" i="2"/>
  <c r="F6" i="2"/>
  <c r="I61" i="35" l="1"/>
  <c r="M61" i="35" s="1"/>
  <c r="P61" i="35" s="1"/>
  <c r="I60" i="35"/>
  <c r="M60" i="35" s="1"/>
  <c r="P60" i="35" s="1"/>
  <c r="I59" i="35"/>
  <c r="M59" i="35" s="1"/>
  <c r="P59" i="35" s="1"/>
  <c r="I58" i="35"/>
  <c r="M58" i="35" s="1"/>
  <c r="P58" i="35" s="1"/>
  <c r="I57" i="35"/>
  <c r="M57" i="35" s="1"/>
  <c r="P57" i="35" s="1"/>
  <c r="I56" i="35"/>
  <c r="M56" i="35" s="1"/>
  <c r="P56" i="35" s="1"/>
  <c r="I55" i="35"/>
  <c r="M55" i="35" s="1"/>
  <c r="P55" i="35" s="1"/>
  <c r="M54" i="35"/>
  <c r="P54" i="35" s="1"/>
  <c r="I54" i="35"/>
  <c r="I53" i="35"/>
  <c r="M53" i="35" s="1"/>
  <c r="P53" i="35" s="1"/>
  <c r="I52" i="35"/>
  <c r="M52" i="35" s="1"/>
  <c r="P52" i="35" s="1"/>
  <c r="I51" i="35"/>
  <c r="M51" i="35" s="1"/>
  <c r="P51" i="35" s="1"/>
  <c r="I50" i="35"/>
  <c r="M50" i="35" s="1"/>
  <c r="P50" i="35" s="1"/>
  <c r="I49" i="35"/>
  <c r="M49" i="35" s="1"/>
  <c r="P49" i="35" s="1"/>
  <c r="I48" i="35"/>
  <c r="M48" i="35" s="1"/>
  <c r="P48" i="35" s="1"/>
  <c r="I47" i="35"/>
  <c r="M47" i="35" s="1"/>
  <c r="P47" i="35" s="1"/>
  <c r="M46" i="35"/>
  <c r="P46" i="35" s="1"/>
  <c r="I46" i="35"/>
  <c r="I45" i="35"/>
  <c r="M45" i="35" s="1"/>
  <c r="P45" i="35" s="1"/>
  <c r="I44" i="35"/>
  <c r="M44" i="35" s="1"/>
  <c r="P44" i="35" s="1"/>
  <c r="I43" i="35"/>
  <c r="M43" i="35" s="1"/>
  <c r="P43" i="35" s="1"/>
  <c r="I42" i="35"/>
  <c r="M42" i="35" s="1"/>
  <c r="P42" i="35" s="1"/>
  <c r="I41" i="35"/>
  <c r="M41" i="35" s="1"/>
  <c r="P41" i="35" s="1"/>
  <c r="I40" i="35"/>
  <c r="M40" i="35" s="1"/>
  <c r="P40" i="35" s="1"/>
  <c r="I39" i="35"/>
  <c r="M39" i="35" s="1"/>
  <c r="P39" i="35" s="1"/>
  <c r="P35" i="35"/>
  <c r="M35" i="35"/>
  <c r="I35" i="35"/>
  <c r="I34" i="35"/>
  <c r="M34" i="35" s="1"/>
  <c r="P34" i="35" s="1"/>
  <c r="I33" i="35"/>
  <c r="M33" i="35" s="1"/>
  <c r="P33" i="35" s="1"/>
  <c r="I32" i="35"/>
  <c r="M32" i="35" s="1"/>
  <c r="P32" i="35" s="1"/>
  <c r="I31" i="35"/>
  <c r="M31" i="35" s="1"/>
  <c r="P31" i="35" s="1"/>
  <c r="M30" i="35"/>
  <c r="P30" i="35" s="1"/>
  <c r="I30" i="35"/>
  <c r="I29" i="35"/>
  <c r="M29" i="35" s="1"/>
  <c r="P29" i="35" s="1"/>
  <c r="N24" i="35"/>
  <c r="L24" i="35"/>
  <c r="F24" i="35"/>
  <c r="H24" i="35" s="1"/>
  <c r="P24" i="35" s="1"/>
  <c r="L23" i="35"/>
  <c r="N23" i="35" s="1"/>
  <c r="F23" i="35"/>
  <c r="H23" i="35" s="1"/>
  <c r="P23" i="35" s="1"/>
  <c r="L22" i="35"/>
  <c r="N22" i="35" s="1"/>
  <c r="F22" i="35"/>
  <c r="H22" i="35" s="1"/>
  <c r="L21" i="35"/>
  <c r="N21" i="35" s="1"/>
  <c r="F21" i="35"/>
  <c r="H21" i="35" s="1"/>
  <c r="L20" i="35"/>
  <c r="N20" i="35" s="1"/>
  <c r="F20" i="35"/>
  <c r="H20" i="35" s="1"/>
  <c r="L19" i="35"/>
  <c r="N19" i="35" s="1"/>
  <c r="H19" i="35"/>
  <c r="F19" i="35"/>
  <c r="L18" i="35"/>
  <c r="N18" i="35" s="1"/>
  <c r="H18" i="35"/>
  <c r="P18" i="35" s="1"/>
  <c r="F18" i="35"/>
  <c r="N17" i="35"/>
  <c r="L17" i="35"/>
  <c r="L25" i="35" s="1"/>
  <c r="F17" i="35"/>
  <c r="F25" i="35" s="1"/>
  <c r="L13" i="35"/>
  <c r="N13" i="35" s="1"/>
  <c r="H13" i="35"/>
  <c r="L12" i="35"/>
  <c r="N12" i="35" s="1"/>
  <c r="H12" i="35"/>
  <c r="P12" i="35" s="1"/>
  <c r="L11" i="35"/>
  <c r="N11" i="35" s="1"/>
  <c r="F11" i="35"/>
  <c r="L10" i="35"/>
  <c r="N10" i="35" s="1"/>
  <c r="F10" i="35"/>
  <c r="N9" i="35"/>
  <c r="L9" i="35"/>
  <c r="F9" i="35"/>
  <c r="F14" i="35" s="1"/>
  <c r="F26" i="35" s="1"/>
  <c r="N8" i="35"/>
  <c r="L8" i="35"/>
  <c r="F8" i="35"/>
  <c r="L7" i="35"/>
  <c r="L14" i="35" s="1"/>
  <c r="L26" i="35" s="1"/>
  <c r="H7" i="35"/>
  <c r="F7" i="35"/>
  <c r="I61" i="34"/>
  <c r="M61" i="34" s="1"/>
  <c r="P61" i="34" s="1"/>
  <c r="M60" i="34"/>
  <c r="P60" i="34" s="1"/>
  <c r="I60" i="34"/>
  <c r="I59" i="34"/>
  <c r="M59" i="34" s="1"/>
  <c r="P59" i="34" s="1"/>
  <c r="M58" i="34"/>
  <c r="P58" i="34" s="1"/>
  <c r="I58" i="34"/>
  <c r="I57" i="34"/>
  <c r="M57" i="34" s="1"/>
  <c r="P57" i="34" s="1"/>
  <c r="M56" i="34"/>
  <c r="P56" i="34" s="1"/>
  <c r="I56" i="34"/>
  <c r="I55" i="34"/>
  <c r="M55" i="34" s="1"/>
  <c r="P55" i="34" s="1"/>
  <c r="M54" i="34"/>
  <c r="P54" i="34" s="1"/>
  <c r="I54" i="34"/>
  <c r="I53" i="34"/>
  <c r="M53" i="34" s="1"/>
  <c r="P53" i="34" s="1"/>
  <c r="M52" i="34"/>
  <c r="P52" i="34" s="1"/>
  <c r="I52" i="34"/>
  <c r="I51" i="34"/>
  <c r="M51" i="34" s="1"/>
  <c r="P51" i="34" s="1"/>
  <c r="M50" i="34"/>
  <c r="P50" i="34" s="1"/>
  <c r="I50" i="34"/>
  <c r="I49" i="34"/>
  <c r="M49" i="34" s="1"/>
  <c r="P49" i="34" s="1"/>
  <c r="M48" i="34"/>
  <c r="P48" i="34" s="1"/>
  <c r="I48" i="34"/>
  <c r="I47" i="34"/>
  <c r="M47" i="34" s="1"/>
  <c r="P47" i="34" s="1"/>
  <c r="M46" i="34"/>
  <c r="P46" i="34" s="1"/>
  <c r="I46" i="34"/>
  <c r="I45" i="34"/>
  <c r="M45" i="34" s="1"/>
  <c r="P45" i="34" s="1"/>
  <c r="M44" i="34"/>
  <c r="P44" i="34" s="1"/>
  <c r="I44" i="34"/>
  <c r="I43" i="34"/>
  <c r="M43" i="34" s="1"/>
  <c r="P43" i="34" s="1"/>
  <c r="M42" i="34"/>
  <c r="P42" i="34" s="1"/>
  <c r="I42" i="34"/>
  <c r="I41" i="34"/>
  <c r="M41" i="34" s="1"/>
  <c r="P41" i="34" s="1"/>
  <c r="I40" i="34"/>
  <c r="M40" i="34" s="1"/>
  <c r="P40" i="34" s="1"/>
  <c r="I39" i="34"/>
  <c r="M39" i="34" s="1"/>
  <c r="P39" i="34" s="1"/>
  <c r="I35" i="34"/>
  <c r="M35" i="34" s="1"/>
  <c r="P35" i="34" s="1"/>
  <c r="I34" i="34"/>
  <c r="M34" i="34" s="1"/>
  <c r="P34" i="34" s="1"/>
  <c r="I33" i="34"/>
  <c r="M33" i="34" s="1"/>
  <c r="P33" i="34" s="1"/>
  <c r="I32" i="34"/>
  <c r="M32" i="34" s="1"/>
  <c r="P32" i="34" s="1"/>
  <c r="I31" i="34"/>
  <c r="M31" i="34" s="1"/>
  <c r="P31" i="34" s="1"/>
  <c r="M30" i="34"/>
  <c r="P30" i="34" s="1"/>
  <c r="I30" i="34"/>
  <c r="M29" i="34"/>
  <c r="P29" i="34" s="1"/>
  <c r="I29" i="34"/>
  <c r="N24" i="34"/>
  <c r="L24" i="34"/>
  <c r="F24" i="34"/>
  <c r="H24" i="34" s="1"/>
  <c r="P24" i="34" s="1"/>
  <c r="L23" i="34"/>
  <c r="N23" i="34" s="1"/>
  <c r="F23" i="34"/>
  <c r="F25" i="34" s="1"/>
  <c r="L22" i="34"/>
  <c r="N22" i="34" s="1"/>
  <c r="F22" i="34"/>
  <c r="H22" i="34" s="1"/>
  <c r="L21" i="34"/>
  <c r="N21" i="34" s="1"/>
  <c r="F21" i="34"/>
  <c r="H21" i="34" s="1"/>
  <c r="P21" i="34" s="1"/>
  <c r="L20" i="34"/>
  <c r="N20" i="34" s="1"/>
  <c r="H20" i="34"/>
  <c r="F20" i="34"/>
  <c r="L19" i="34"/>
  <c r="N19" i="34" s="1"/>
  <c r="F19" i="34"/>
  <c r="H19" i="34" s="1"/>
  <c r="N18" i="34"/>
  <c r="L18" i="34"/>
  <c r="H18" i="34"/>
  <c r="P18" i="34" s="1"/>
  <c r="F18" i="34"/>
  <c r="L17" i="34"/>
  <c r="N17" i="34" s="1"/>
  <c r="F17" i="34"/>
  <c r="H17" i="34" s="1"/>
  <c r="L13" i="34"/>
  <c r="N13" i="34" s="1"/>
  <c r="H13" i="34"/>
  <c r="P13" i="34" s="1"/>
  <c r="L12" i="34"/>
  <c r="N12" i="34" s="1"/>
  <c r="H12" i="34"/>
  <c r="L11" i="34"/>
  <c r="N11" i="34" s="1"/>
  <c r="F11" i="34"/>
  <c r="L10" i="34"/>
  <c r="N10" i="34" s="1"/>
  <c r="F10" i="34"/>
  <c r="N9" i="34"/>
  <c r="L9" i="34"/>
  <c r="F9" i="34"/>
  <c r="H9" i="34" s="1"/>
  <c r="P9" i="34" s="1"/>
  <c r="N8" i="34"/>
  <c r="N14" i="34" s="1"/>
  <c r="L8" i="34"/>
  <c r="F8" i="34"/>
  <c r="N7" i="34"/>
  <c r="L7" i="34"/>
  <c r="L14" i="34" s="1"/>
  <c r="H7" i="34"/>
  <c r="F7" i="34"/>
  <c r="F14" i="34" s="1"/>
  <c r="F26" i="34" s="1"/>
  <c r="I61" i="33"/>
  <c r="M61" i="33" s="1"/>
  <c r="P61" i="33" s="1"/>
  <c r="I60" i="33"/>
  <c r="M60" i="33" s="1"/>
  <c r="P60" i="33" s="1"/>
  <c r="I59" i="33"/>
  <c r="M59" i="33" s="1"/>
  <c r="P59" i="33" s="1"/>
  <c r="I58" i="33"/>
  <c r="M58" i="33" s="1"/>
  <c r="P58" i="33" s="1"/>
  <c r="I57" i="33"/>
  <c r="M57" i="33" s="1"/>
  <c r="P57" i="33" s="1"/>
  <c r="I56" i="33"/>
  <c r="M56" i="33" s="1"/>
  <c r="P56" i="33" s="1"/>
  <c r="I55" i="33"/>
  <c r="M55" i="33" s="1"/>
  <c r="P55" i="33" s="1"/>
  <c r="I54" i="33"/>
  <c r="M54" i="33" s="1"/>
  <c r="P54" i="33" s="1"/>
  <c r="I53" i="33"/>
  <c r="M53" i="33" s="1"/>
  <c r="P53" i="33" s="1"/>
  <c r="I52" i="33"/>
  <c r="M52" i="33" s="1"/>
  <c r="P52" i="33" s="1"/>
  <c r="I51" i="33"/>
  <c r="M51" i="33" s="1"/>
  <c r="P51" i="33" s="1"/>
  <c r="I50" i="33"/>
  <c r="M50" i="33" s="1"/>
  <c r="P50" i="33" s="1"/>
  <c r="I49" i="33"/>
  <c r="M49" i="33" s="1"/>
  <c r="P49" i="33" s="1"/>
  <c r="I48" i="33"/>
  <c r="M48" i="33" s="1"/>
  <c r="P48" i="33" s="1"/>
  <c r="I47" i="33"/>
  <c r="M47" i="33" s="1"/>
  <c r="P47" i="33" s="1"/>
  <c r="I46" i="33"/>
  <c r="M46" i="33" s="1"/>
  <c r="P46" i="33" s="1"/>
  <c r="I45" i="33"/>
  <c r="M45" i="33" s="1"/>
  <c r="P45" i="33" s="1"/>
  <c r="I44" i="33"/>
  <c r="M44" i="33" s="1"/>
  <c r="P44" i="33" s="1"/>
  <c r="I43" i="33"/>
  <c r="M43" i="33" s="1"/>
  <c r="P43" i="33" s="1"/>
  <c r="I42" i="33"/>
  <c r="M42" i="33" s="1"/>
  <c r="P42" i="33" s="1"/>
  <c r="I41" i="33"/>
  <c r="M41" i="33" s="1"/>
  <c r="P41" i="33" s="1"/>
  <c r="I40" i="33"/>
  <c r="M40" i="33" s="1"/>
  <c r="P40" i="33" s="1"/>
  <c r="I39" i="33"/>
  <c r="M39" i="33" s="1"/>
  <c r="P39" i="33" s="1"/>
  <c r="I35" i="33"/>
  <c r="M35" i="33" s="1"/>
  <c r="P35" i="33" s="1"/>
  <c r="I34" i="33"/>
  <c r="M34" i="33" s="1"/>
  <c r="P34" i="33" s="1"/>
  <c r="I33" i="33"/>
  <c r="M33" i="33" s="1"/>
  <c r="P33" i="33" s="1"/>
  <c r="I32" i="33"/>
  <c r="M32" i="33" s="1"/>
  <c r="P32" i="33" s="1"/>
  <c r="I31" i="33"/>
  <c r="M31" i="33" s="1"/>
  <c r="P31" i="33" s="1"/>
  <c r="I30" i="33"/>
  <c r="M30" i="33" s="1"/>
  <c r="P30" i="33" s="1"/>
  <c r="I29" i="33"/>
  <c r="M29" i="33" s="1"/>
  <c r="P29" i="33" s="1"/>
  <c r="L24" i="33"/>
  <c r="N24" i="33" s="1"/>
  <c r="F24" i="33"/>
  <c r="H24" i="33" s="1"/>
  <c r="P24" i="33" s="1"/>
  <c r="L23" i="33"/>
  <c r="N23" i="33" s="1"/>
  <c r="F23" i="33"/>
  <c r="H23" i="33" s="1"/>
  <c r="L22" i="33"/>
  <c r="N22" i="33" s="1"/>
  <c r="F22" i="33"/>
  <c r="H22" i="33" s="1"/>
  <c r="L21" i="33"/>
  <c r="N21" i="33" s="1"/>
  <c r="F21" i="33"/>
  <c r="H21" i="33" s="1"/>
  <c r="L20" i="33"/>
  <c r="N20" i="33" s="1"/>
  <c r="F20" i="33"/>
  <c r="H20" i="33" s="1"/>
  <c r="L19" i="33"/>
  <c r="N19" i="33" s="1"/>
  <c r="F19" i="33"/>
  <c r="H19" i="33" s="1"/>
  <c r="L18" i="33"/>
  <c r="N18" i="33" s="1"/>
  <c r="F18" i="33"/>
  <c r="H18" i="33" s="1"/>
  <c r="L17" i="33"/>
  <c r="F17" i="33"/>
  <c r="H17" i="33" s="1"/>
  <c r="L13" i="33"/>
  <c r="N13" i="33" s="1"/>
  <c r="H13" i="33"/>
  <c r="L12" i="33"/>
  <c r="N12" i="33" s="1"/>
  <c r="H12" i="33"/>
  <c r="L11" i="33"/>
  <c r="N11" i="33" s="1"/>
  <c r="F11" i="33"/>
  <c r="L10" i="33"/>
  <c r="N10" i="33" s="1"/>
  <c r="F10" i="33"/>
  <c r="L9" i="33"/>
  <c r="N9" i="33" s="1"/>
  <c r="F9" i="33"/>
  <c r="H9" i="33" s="1"/>
  <c r="P9" i="33" s="1"/>
  <c r="L8" i="33"/>
  <c r="N8" i="33" s="1"/>
  <c r="F8" i="33"/>
  <c r="L7" i="33"/>
  <c r="N7" i="33" s="1"/>
  <c r="F7" i="33"/>
  <c r="F14" i="33" s="1"/>
  <c r="I61" i="32"/>
  <c r="M61" i="32" s="1"/>
  <c r="P61" i="32" s="1"/>
  <c r="M60" i="32"/>
  <c r="P60" i="32" s="1"/>
  <c r="I60" i="32"/>
  <c r="I59" i="32"/>
  <c r="M59" i="32" s="1"/>
  <c r="P59" i="32" s="1"/>
  <c r="M58" i="32"/>
  <c r="P58" i="32" s="1"/>
  <c r="I58" i="32"/>
  <c r="I57" i="32"/>
  <c r="M57" i="32" s="1"/>
  <c r="P57" i="32" s="1"/>
  <c r="I56" i="32"/>
  <c r="M56" i="32" s="1"/>
  <c r="P56" i="32" s="1"/>
  <c r="I55" i="32"/>
  <c r="M55" i="32" s="1"/>
  <c r="P55" i="32" s="1"/>
  <c r="M54" i="32"/>
  <c r="P54" i="32" s="1"/>
  <c r="I54" i="32"/>
  <c r="I53" i="32"/>
  <c r="M53" i="32" s="1"/>
  <c r="P53" i="32" s="1"/>
  <c r="M52" i="32"/>
  <c r="P52" i="32" s="1"/>
  <c r="I52" i="32"/>
  <c r="I51" i="32"/>
  <c r="M51" i="32" s="1"/>
  <c r="P51" i="32" s="1"/>
  <c r="M50" i="32"/>
  <c r="P50" i="32" s="1"/>
  <c r="I50" i="32"/>
  <c r="I49" i="32"/>
  <c r="M49" i="32" s="1"/>
  <c r="P49" i="32" s="1"/>
  <c r="I48" i="32"/>
  <c r="M48" i="32" s="1"/>
  <c r="P48" i="32" s="1"/>
  <c r="I47" i="32"/>
  <c r="M47" i="32" s="1"/>
  <c r="P47" i="32" s="1"/>
  <c r="M46" i="32"/>
  <c r="P46" i="32" s="1"/>
  <c r="I46" i="32"/>
  <c r="I45" i="32"/>
  <c r="M45" i="32" s="1"/>
  <c r="P45" i="32" s="1"/>
  <c r="M44" i="32"/>
  <c r="P44" i="32" s="1"/>
  <c r="I44" i="32"/>
  <c r="I43" i="32"/>
  <c r="M43" i="32" s="1"/>
  <c r="P43" i="32" s="1"/>
  <c r="M42" i="32"/>
  <c r="P42" i="32" s="1"/>
  <c r="I42" i="32"/>
  <c r="I41" i="32"/>
  <c r="M41" i="32" s="1"/>
  <c r="P41" i="32" s="1"/>
  <c r="I40" i="32"/>
  <c r="M40" i="32" s="1"/>
  <c r="P40" i="32" s="1"/>
  <c r="I39" i="32"/>
  <c r="M39" i="32" s="1"/>
  <c r="P39" i="32" s="1"/>
  <c r="I35" i="32"/>
  <c r="M35" i="32" s="1"/>
  <c r="P35" i="32" s="1"/>
  <c r="M34" i="32"/>
  <c r="P34" i="32" s="1"/>
  <c r="I34" i="32"/>
  <c r="I33" i="32"/>
  <c r="M33" i="32" s="1"/>
  <c r="P33" i="32" s="1"/>
  <c r="I32" i="32"/>
  <c r="M32" i="32" s="1"/>
  <c r="P32" i="32" s="1"/>
  <c r="I31" i="32"/>
  <c r="M31" i="32" s="1"/>
  <c r="P31" i="32" s="1"/>
  <c r="M30" i="32"/>
  <c r="P30" i="32" s="1"/>
  <c r="I30" i="32"/>
  <c r="I29" i="32"/>
  <c r="M29" i="32" s="1"/>
  <c r="P29" i="32" s="1"/>
  <c r="N24" i="32"/>
  <c r="L24" i="32"/>
  <c r="F24" i="32"/>
  <c r="H24" i="32" s="1"/>
  <c r="P24" i="32" s="1"/>
  <c r="L23" i="32"/>
  <c r="N23" i="32" s="1"/>
  <c r="F23" i="32"/>
  <c r="H23" i="32" s="1"/>
  <c r="L22" i="32"/>
  <c r="N22" i="32" s="1"/>
  <c r="H22" i="32"/>
  <c r="F22" i="32"/>
  <c r="L21" i="32"/>
  <c r="N21" i="32" s="1"/>
  <c r="F21" i="32"/>
  <c r="H21" i="32" s="1"/>
  <c r="N20" i="32"/>
  <c r="L20" i="32"/>
  <c r="H20" i="32"/>
  <c r="P20" i="32" s="1"/>
  <c r="F20" i="32"/>
  <c r="L19" i="32"/>
  <c r="N19" i="32" s="1"/>
  <c r="F19" i="32"/>
  <c r="H19" i="32" s="1"/>
  <c r="N18" i="32"/>
  <c r="L18" i="32"/>
  <c r="H18" i="32"/>
  <c r="F18" i="32"/>
  <c r="L17" i="32"/>
  <c r="N17" i="32" s="1"/>
  <c r="F17" i="32"/>
  <c r="H17" i="32" s="1"/>
  <c r="L13" i="32"/>
  <c r="N13" i="32" s="1"/>
  <c r="H13" i="32"/>
  <c r="L12" i="32"/>
  <c r="N12" i="32" s="1"/>
  <c r="H12" i="32"/>
  <c r="L11" i="32"/>
  <c r="N11" i="32" s="1"/>
  <c r="F11" i="32"/>
  <c r="L10" i="32"/>
  <c r="N10" i="32" s="1"/>
  <c r="F10" i="32"/>
  <c r="L9" i="32"/>
  <c r="N9" i="32" s="1"/>
  <c r="F9" i="32"/>
  <c r="H9" i="32" s="1"/>
  <c r="P9" i="32" s="1"/>
  <c r="N8" i="32"/>
  <c r="L8" i="32"/>
  <c r="F8" i="32"/>
  <c r="N7" i="32"/>
  <c r="L7" i="32"/>
  <c r="L14" i="32" s="1"/>
  <c r="H7" i="32"/>
  <c r="F7" i="32"/>
  <c r="F14" i="32" s="1"/>
  <c r="I61" i="31"/>
  <c r="M61" i="31" s="1"/>
  <c r="P61" i="31" s="1"/>
  <c r="M60" i="31"/>
  <c r="P60" i="31" s="1"/>
  <c r="I60" i="31"/>
  <c r="I59" i="31"/>
  <c r="M59" i="31" s="1"/>
  <c r="P59" i="31" s="1"/>
  <c r="I58" i="31"/>
  <c r="M58" i="31" s="1"/>
  <c r="P58" i="31" s="1"/>
  <c r="I57" i="31"/>
  <c r="M57" i="31" s="1"/>
  <c r="P57" i="31" s="1"/>
  <c r="I56" i="31"/>
  <c r="M56" i="31" s="1"/>
  <c r="P56" i="31" s="1"/>
  <c r="I55" i="31"/>
  <c r="M55" i="31" s="1"/>
  <c r="P55" i="31" s="1"/>
  <c r="M54" i="31"/>
  <c r="P54" i="31" s="1"/>
  <c r="I54" i="31"/>
  <c r="I53" i="31"/>
  <c r="M53" i="31" s="1"/>
  <c r="P53" i="31" s="1"/>
  <c r="M52" i="31"/>
  <c r="P52" i="31" s="1"/>
  <c r="I52" i="31"/>
  <c r="P51" i="31"/>
  <c r="M51" i="31"/>
  <c r="I51" i="31"/>
  <c r="I50" i="31"/>
  <c r="M50" i="31" s="1"/>
  <c r="P50" i="31" s="1"/>
  <c r="I49" i="31"/>
  <c r="M49" i="31" s="1"/>
  <c r="P49" i="31" s="1"/>
  <c r="I48" i="31"/>
  <c r="M48" i="31" s="1"/>
  <c r="P48" i="31" s="1"/>
  <c r="I47" i="31"/>
  <c r="M47" i="31" s="1"/>
  <c r="P47" i="31" s="1"/>
  <c r="M46" i="31"/>
  <c r="P46" i="31" s="1"/>
  <c r="I46" i="31"/>
  <c r="I45" i="31"/>
  <c r="M45" i="31" s="1"/>
  <c r="P45" i="31" s="1"/>
  <c r="M44" i="31"/>
  <c r="P44" i="31" s="1"/>
  <c r="I44" i="31"/>
  <c r="P43" i="31"/>
  <c r="M43" i="31"/>
  <c r="I43" i="31"/>
  <c r="I42" i="31"/>
  <c r="M42" i="31" s="1"/>
  <c r="P42" i="31" s="1"/>
  <c r="I41" i="31"/>
  <c r="M41" i="31" s="1"/>
  <c r="P41" i="31" s="1"/>
  <c r="I40" i="31"/>
  <c r="M40" i="31" s="1"/>
  <c r="P40" i="31" s="1"/>
  <c r="I39" i="31"/>
  <c r="M39" i="31" s="1"/>
  <c r="P39" i="31" s="1"/>
  <c r="P35" i="31"/>
  <c r="M35" i="31"/>
  <c r="I35" i="31"/>
  <c r="I34" i="31"/>
  <c r="M34" i="31" s="1"/>
  <c r="P34" i="31" s="1"/>
  <c r="I33" i="31"/>
  <c r="M33" i="31" s="1"/>
  <c r="P33" i="31" s="1"/>
  <c r="I32" i="31"/>
  <c r="M32" i="31" s="1"/>
  <c r="P32" i="31" s="1"/>
  <c r="I31" i="31"/>
  <c r="M31" i="31" s="1"/>
  <c r="P31" i="31" s="1"/>
  <c r="M30" i="31"/>
  <c r="P30" i="31" s="1"/>
  <c r="I30" i="31"/>
  <c r="I29" i="31"/>
  <c r="M29" i="31" s="1"/>
  <c r="P29" i="31" s="1"/>
  <c r="N24" i="31"/>
  <c r="L24" i="31"/>
  <c r="F24" i="31"/>
  <c r="H24" i="31" s="1"/>
  <c r="P24" i="31" s="1"/>
  <c r="L23" i="31"/>
  <c r="N23" i="31" s="1"/>
  <c r="F23" i="31"/>
  <c r="H23" i="31" s="1"/>
  <c r="L22" i="31"/>
  <c r="N22" i="31" s="1"/>
  <c r="F22" i="31"/>
  <c r="H22" i="31" s="1"/>
  <c r="L21" i="31"/>
  <c r="N21" i="31" s="1"/>
  <c r="F21" i="31"/>
  <c r="H21" i="31" s="1"/>
  <c r="L20" i="31"/>
  <c r="N20" i="31" s="1"/>
  <c r="H20" i="31"/>
  <c r="F20" i="31"/>
  <c r="L19" i="31"/>
  <c r="N19" i="31" s="1"/>
  <c r="F19" i="31"/>
  <c r="H19" i="31" s="1"/>
  <c r="P19" i="31" s="1"/>
  <c r="N18" i="31"/>
  <c r="L18" i="31"/>
  <c r="H18" i="31"/>
  <c r="F18" i="31"/>
  <c r="L17" i="31"/>
  <c r="N17" i="31" s="1"/>
  <c r="F17" i="31"/>
  <c r="F25" i="31" s="1"/>
  <c r="L13" i="31"/>
  <c r="N13" i="31" s="1"/>
  <c r="H13" i="31"/>
  <c r="P13" i="31" s="1"/>
  <c r="L12" i="31"/>
  <c r="N12" i="31" s="1"/>
  <c r="H12" i="31"/>
  <c r="P12" i="31" s="1"/>
  <c r="L11" i="31"/>
  <c r="N11" i="31" s="1"/>
  <c r="F11" i="31"/>
  <c r="L10" i="31"/>
  <c r="N10" i="31" s="1"/>
  <c r="F10" i="31"/>
  <c r="L9" i="31"/>
  <c r="N9" i="31" s="1"/>
  <c r="F9" i="31"/>
  <c r="H9" i="31" s="1"/>
  <c r="P9" i="31" s="1"/>
  <c r="N8" i="31"/>
  <c r="L8" i="31"/>
  <c r="F8" i="31"/>
  <c r="N7" i="31"/>
  <c r="L7" i="31"/>
  <c r="L14" i="31" s="1"/>
  <c r="H7" i="31"/>
  <c r="F7" i="31"/>
  <c r="F14" i="31" s="1"/>
  <c r="I43" i="30"/>
  <c r="M43" i="30" s="1"/>
  <c r="P43" i="30" s="1"/>
  <c r="I42" i="30"/>
  <c r="M42" i="30" s="1"/>
  <c r="P42" i="30" s="1"/>
  <c r="I41" i="30"/>
  <c r="M41" i="30" s="1"/>
  <c r="P41" i="30" s="1"/>
  <c r="I40" i="30"/>
  <c r="M40" i="30" s="1"/>
  <c r="P40" i="30" s="1"/>
  <c r="I39" i="30"/>
  <c r="M39" i="30" s="1"/>
  <c r="P39" i="30" s="1"/>
  <c r="I38" i="30"/>
  <c r="M38" i="30" s="1"/>
  <c r="P38" i="30" s="1"/>
  <c r="I37" i="30"/>
  <c r="M37" i="30" s="1"/>
  <c r="P37" i="30" s="1"/>
  <c r="I36" i="30"/>
  <c r="M36" i="30" s="1"/>
  <c r="P36" i="30" s="1"/>
  <c r="I32" i="30"/>
  <c r="M32" i="30" s="1"/>
  <c r="P32" i="30" s="1"/>
  <c r="I31" i="30"/>
  <c r="M31" i="30" s="1"/>
  <c r="P31" i="30" s="1"/>
  <c r="I30" i="30"/>
  <c r="M30" i="30" s="1"/>
  <c r="P30" i="30" s="1"/>
  <c r="I29" i="30"/>
  <c r="M29" i="30" s="1"/>
  <c r="P29" i="30" s="1"/>
  <c r="I28" i="30"/>
  <c r="M28" i="30" s="1"/>
  <c r="P28" i="30" s="1"/>
  <c r="I27" i="30"/>
  <c r="M27" i="30" s="1"/>
  <c r="P27" i="30" s="1"/>
  <c r="I26" i="30"/>
  <c r="M26" i="30" s="1"/>
  <c r="P26" i="30" s="1"/>
  <c r="L21" i="30"/>
  <c r="N21" i="30" s="1"/>
  <c r="F21" i="30"/>
  <c r="H21" i="30" s="1"/>
  <c r="L20" i="30"/>
  <c r="N20" i="30" s="1"/>
  <c r="F20" i="30"/>
  <c r="H20" i="30" s="1"/>
  <c r="L19" i="30"/>
  <c r="N19" i="30" s="1"/>
  <c r="F19" i="30"/>
  <c r="H19" i="30" s="1"/>
  <c r="L18" i="30"/>
  <c r="N18" i="30" s="1"/>
  <c r="F18" i="30"/>
  <c r="H18" i="30" s="1"/>
  <c r="L17" i="30"/>
  <c r="N17" i="30" s="1"/>
  <c r="F17" i="30"/>
  <c r="H17" i="30" s="1"/>
  <c r="L13" i="30"/>
  <c r="N13" i="30" s="1"/>
  <c r="H13" i="30"/>
  <c r="L12" i="30"/>
  <c r="N12" i="30" s="1"/>
  <c r="H12" i="30"/>
  <c r="P12" i="30" s="1"/>
  <c r="L11" i="30"/>
  <c r="N11" i="30" s="1"/>
  <c r="F11" i="30"/>
  <c r="L10" i="30"/>
  <c r="N10" i="30" s="1"/>
  <c r="F10" i="30"/>
  <c r="L9" i="30"/>
  <c r="N9" i="30" s="1"/>
  <c r="F9" i="30"/>
  <c r="H9" i="30" s="1"/>
  <c r="L8" i="30"/>
  <c r="N8" i="30" s="1"/>
  <c r="F8" i="30"/>
  <c r="L7" i="30"/>
  <c r="F7" i="30"/>
  <c r="H7" i="30" s="1"/>
  <c r="L14" i="30" l="1"/>
  <c r="F14" i="30"/>
  <c r="P9" i="30"/>
  <c r="P21" i="30"/>
  <c r="L25" i="33"/>
  <c r="P12" i="33"/>
  <c r="H7" i="33"/>
  <c r="P7" i="33" s="1"/>
  <c r="N25" i="35"/>
  <c r="P19" i="35"/>
  <c r="P22" i="34"/>
  <c r="N25" i="34"/>
  <c r="P20" i="34"/>
  <c r="P22" i="33"/>
  <c r="P20" i="33"/>
  <c r="P18" i="33"/>
  <c r="P22" i="32"/>
  <c r="P18" i="32"/>
  <c r="P20" i="31"/>
  <c r="P22" i="31"/>
  <c r="P18" i="31"/>
  <c r="P19" i="30"/>
  <c r="P20" i="30"/>
  <c r="N22" i="30"/>
  <c r="P21" i="35"/>
  <c r="P36" i="35"/>
  <c r="G10" i="35" s="1"/>
  <c r="H10" i="35" s="1"/>
  <c r="P10" i="35" s="1"/>
  <c r="P22" i="35"/>
  <c r="P13" i="35"/>
  <c r="P62" i="35"/>
  <c r="G11" i="35" s="1"/>
  <c r="H11" i="35" s="1"/>
  <c r="P11" i="35" s="1"/>
  <c r="P20" i="35"/>
  <c r="H9" i="35"/>
  <c r="P9" i="35" s="1"/>
  <c r="H17" i="35"/>
  <c r="N7" i="35"/>
  <c r="N14" i="35" s="1"/>
  <c r="N26" i="35" s="1"/>
  <c r="N14" i="32"/>
  <c r="P12" i="32"/>
  <c r="P21" i="32"/>
  <c r="N14" i="33"/>
  <c r="N26" i="33" s="1"/>
  <c r="H25" i="33"/>
  <c r="P23" i="33"/>
  <c r="P62" i="33"/>
  <c r="N26" i="34"/>
  <c r="P13" i="32"/>
  <c r="P19" i="32"/>
  <c r="P36" i="32"/>
  <c r="G10" i="32" s="1"/>
  <c r="P21" i="33"/>
  <c r="P12" i="34"/>
  <c r="H10" i="32"/>
  <c r="P10" i="32" s="1"/>
  <c r="P62" i="32"/>
  <c r="G11" i="32" s="1"/>
  <c r="P36" i="34"/>
  <c r="G10" i="34" s="1"/>
  <c r="H10" i="34" s="1"/>
  <c r="P10" i="34" s="1"/>
  <c r="P62" i="34"/>
  <c r="G11" i="34" s="1"/>
  <c r="H11" i="34" s="1"/>
  <c r="P11" i="34" s="1"/>
  <c r="P17" i="32"/>
  <c r="H25" i="32"/>
  <c r="P19" i="34"/>
  <c r="H11" i="32"/>
  <c r="P11" i="32" s="1"/>
  <c r="N25" i="32"/>
  <c r="P23" i="32"/>
  <c r="P19" i="33"/>
  <c r="L26" i="34"/>
  <c r="F26" i="33"/>
  <c r="P13" i="33"/>
  <c r="P36" i="33"/>
  <c r="P17" i="34"/>
  <c r="N17" i="33"/>
  <c r="N25" i="33" s="1"/>
  <c r="H23" i="34"/>
  <c r="P23" i="34" s="1"/>
  <c r="F25" i="32"/>
  <c r="F26" i="32" s="1"/>
  <c r="P7" i="32"/>
  <c r="L14" i="33"/>
  <c r="L26" i="33" s="1"/>
  <c r="P7" i="34"/>
  <c r="L25" i="34"/>
  <c r="L25" i="32"/>
  <c r="L26" i="32" s="1"/>
  <c r="F25" i="33"/>
  <c r="H10" i="31"/>
  <c r="P10" i="31" s="1"/>
  <c r="P21" i="31"/>
  <c r="P36" i="31"/>
  <c r="G10" i="31" s="1"/>
  <c r="P62" i="31"/>
  <c r="G11" i="31" s="1"/>
  <c r="N25" i="31"/>
  <c r="H11" i="31"/>
  <c r="P11" i="31" s="1"/>
  <c r="N14" i="31"/>
  <c r="F26" i="31"/>
  <c r="P23" i="31"/>
  <c r="P7" i="31"/>
  <c r="H17" i="31"/>
  <c r="L25" i="31"/>
  <c r="L26" i="31" s="1"/>
  <c r="P44" i="30"/>
  <c r="P18" i="30"/>
  <c r="P33" i="30"/>
  <c r="G10" i="30" s="1"/>
  <c r="H10" i="30" s="1"/>
  <c r="P10" i="30" s="1"/>
  <c r="P17" i="30"/>
  <c r="H22" i="30"/>
  <c r="P13" i="30"/>
  <c r="N7" i="30"/>
  <c r="N14" i="30" s="1"/>
  <c r="F22" i="30"/>
  <c r="F23" i="30" s="1"/>
  <c r="P7" i="30"/>
  <c r="L22" i="30"/>
  <c r="L23" i="30" l="1"/>
  <c r="G11" i="30"/>
  <c r="H11" i="30" s="1"/>
  <c r="P11" i="30" s="1"/>
  <c r="G10" i="33"/>
  <c r="H10" i="33" s="1"/>
  <c r="P10" i="33" s="1"/>
  <c r="G11" i="33"/>
  <c r="H11" i="33" s="1"/>
  <c r="P11" i="33" s="1"/>
  <c r="N26" i="31"/>
  <c r="N23" i="30"/>
  <c r="P22" i="30"/>
  <c r="T6" i="30" s="1"/>
  <c r="P17" i="35"/>
  <c r="P25" i="35" s="1"/>
  <c r="H25" i="35"/>
  <c r="P7" i="35"/>
  <c r="P25" i="32"/>
  <c r="N26" i="32"/>
  <c r="H25" i="34"/>
  <c r="P25" i="34"/>
  <c r="P17" i="33"/>
  <c r="P25" i="33" s="1"/>
  <c r="P17" i="31"/>
  <c r="P25" i="31" s="1"/>
  <c r="H25" i="31"/>
  <c r="G8" i="30" l="1"/>
  <c r="H8" i="30" s="1"/>
  <c r="P8" i="30" s="1"/>
  <c r="P14" i="30" s="1"/>
  <c r="P23" i="30" s="1"/>
  <c r="P47" i="30" s="1"/>
  <c r="P55" i="30" s="1"/>
  <c r="G22" i="2" s="1"/>
  <c r="G8" i="35"/>
  <c r="H8" i="35" s="1"/>
  <c r="T6" i="33"/>
  <c r="G8" i="33"/>
  <c r="H8" i="33" s="1"/>
  <c r="T6" i="32"/>
  <c r="G8" i="32"/>
  <c r="H8" i="32" s="1"/>
  <c r="T6" i="34"/>
  <c r="G8" i="34"/>
  <c r="H8" i="34" s="1"/>
  <c r="T6" i="31"/>
  <c r="G8" i="31"/>
  <c r="H8" i="31" s="1"/>
  <c r="H14" i="30" l="1"/>
  <c r="H23" i="30" s="1"/>
  <c r="P8" i="35"/>
  <c r="P14" i="35" s="1"/>
  <c r="P26" i="35" s="1"/>
  <c r="P65" i="35" s="1"/>
  <c r="P73" i="35" s="1"/>
  <c r="G30" i="2" s="1"/>
  <c r="H14" i="35"/>
  <c r="H26" i="35" s="1"/>
  <c r="P8" i="32"/>
  <c r="P14" i="32" s="1"/>
  <c r="P26" i="32" s="1"/>
  <c r="P65" i="32" s="1"/>
  <c r="P73" i="32" s="1"/>
  <c r="G24" i="2" s="1"/>
  <c r="H14" i="32"/>
  <c r="H26" i="32" s="1"/>
  <c r="P8" i="34"/>
  <c r="P14" i="34" s="1"/>
  <c r="P26" i="34" s="1"/>
  <c r="P65" i="34" s="1"/>
  <c r="P73" i="34" s="1"/>
  <c r="G26" i="2" s="1"/>
  <c r="H14" i="34"/>
  <c r="H26" i="34" s="1"/>
  <c r="P8" i="33"/>
  <c r="P14" i="33" s="1"/>
  <c r="P26" i="33" s="1"/>
  <c r="P65" i="33" s="1"/>
  <c r="P73" i="33" s="1"/>
  <c r="G25" i="2" s="1"/>
  <c r="H14" i="33"/>
  <c r="H26" i="33" s="1"/>
  <c r="P8" i="31"/>
  <c r="P14" i="31" s="1"/>
  <c r="P26" i="31" s="1"/>
  <c r="P65" i="31" s="1"/>
  <c r="P73" i="31" s="1"/>
  <c r="G23" i="2" s="1"/>
  <c r="H14" i="31"/>
  <c r="H26" i="31" s="1"/>
  <c r="P58" i="30"/>
  <c r="P56" i="30"/>
  <c r="P57" i="30" s="1"/>
  <c r="P74" i="35" l="1"/>
  <c r="P75" i="35" s="1"/>
  <c r="P76" i="35"/>
  <c r="P76" i="34"/>
  <c r="P74" i="34"/>
  <c r="P75" i="34" s="1"/>
  <c r="P74" i="33"/>
  <c r="P75" i="33" s="1"/>
  <c r="P76" i="33"/>
  <c r="P74" i="32"/>
  <c r="P75" i="32" s="1"/>
  <c r="P76" i="32"/>
  <c r="P74" i="31"/>
  <c r="P75" i="31" s="1"/>
  <c r="P76" i="31"/>
  <c r="I41" i="23" l="1"/>
  <c r="M41" i="23" s="1"/>
  <c r="P41" i="23" s="1"/>
  <c r="I40" i="23"/>
  <c r="M40" i="23" s="1"/>
  <c r="P40" i="23" s="1"/>
  <c r="I36" i="23"/>
  <c r="M36" i="23" s="1"/>
  <c r="P36" i="23" s="1"/>
  <c r="I35" i="23"/>
  <c r="M35" i="23" s="1"/>
  <c r="P35" i="23" s="1"/>
  <c r="I34" i="23"/>
  <c r="M34" i="23" s="1"/>
  <c r="P34" i="23" s="1"/>
  <c r="I33" i="23"/>
  <c r="M33" i="23" s="1"/>
  <c r="P33" i="23" s="1"/>
  <c r="I32" i="23"/>
  <c r="M32" i="23" s="1"/>
  <c r="P32" i="23" s="1"/>
  <c r="I31" i="23"/>
  <c r="M31" i="23" s="1"/>
  <c r="P31" i="23" s="1"/>
  <c r="I30" i="23"/>
  <c r="M30" i="23" s="1"/>
  <c r="P30" i="23" s="1"/>
  <c r="L25" i="23"/>
  <c r="N25" i="23" s="1"/>
  <c r="H25" i="23"/>
  <c r="L23" i="23"/>
  <c r="N23" i="23" s="1"/>
  <c r="H23" i="23"/>
  <c r="L22" i="23"/>
  <c r="N22" i="23" s="1"/>
  <c r="H22" i="23"/>
  <c r="L21" i="23"/>
  <c r="N21" i="23" s="1"/>
  <c r="H21" i="23"/>
  <c r="L20" i="23"/>
  <c r="N20" i="23" s="1"/>
  <c r="H20" i="23"/>
  <c r="L19" i="23"/>
  <c r="N19" i="23" s="1"/>
  <c r="H19" i="23"/>
  <c r="L18" i="23"/>
  <c r="H18" i="23"/>
  <c r="H17" i="23"/>
  <c r="L13" i="23"/>
  <c r="N13" i="23" s="1"/>
  <c r="F13" i="23"/>
  <c r="H13" i="23" s="1"/>
  <c r="L12" i="23"/>
  <c r="N12" i="23" s="1"/>
  <c r="F12" i="23"/>
  <c r="H12" i="23" s="1"/>
  <c r="L11" i="23"/>
  <c r="N11" i="23" s="1"/>
  <c r="F11" i="23"/>
  <c r="L10" i="23"/>
  <c r="N10" i="23" s="1"/>
  <c r="F10" i="23"/>
  <c r="L9" i="23"/>
  <c r="N9" i="23" s="1"/>
  <c r="F9" i="23"/>
  <c r="H9" i="23" s="1"/>
  <c r="L8" i="23"/>
  <c r="N8" i="23" s="1"/>
  <c r="F8" i="23"/>
  <c r="L7" i="23"/>
  <c r="F7" i="23"/>
  <c r="H7" i="23" s="1"/>
  <c r="F30" i="2"/>
  <c r="F25" i="2"/>
  <c r="F26" i="2"/>
  <c r="N18" i="23" l="1"/>
  <c r="P18" i="23" s="1"/>
  <c r="L26" i="23"/>
  <c r="P9" i="23"/>
  <c r="P21" i="23"/>
  <c r="P12" i="23"/>
  <c r="P25" i="23"/>
  <c r="L14" i="23"/>
  <c r="F26" i="23"/>
  <c r="H26" i="23"/>
  <c r="P13" i="23"/>
  <c r="P23" i="23"/>
  <c r="P19" i="23"/>
  <c r="N17" i="23"/>
  <c r="P17" i="23" s="1"/>
  <c r="P42" i="23"/>
  <c r="P20" i="23"/>
  <c r="P22" i="23"/>
  <c r="P37" i="23"/>
  <c r="N7" i="23"/>
  <c r="N14" i="23" s="1"/>
  <c r="F14" i="23"/>
  <c r="G11" i="23" l="1"/>
  <c r="H11" i="23" s="1"/>
  <c r="P11" i="23" s="1"/>
  <c r="G10" i="2"/>
  <c r="H10" i="2" s="1"/>
  <c r="J10" i="2" s="1"/>
  <c r="G10" i="23"/>
  <c r="H10" i="23" s="1"/>
  <c r="P10" i="23" s="1"/>
  <c r="G9" i="2"/>
  <c r="L27" i="23"/>
  <c r="P7" i="23"/>
  <c r="F27" i="23"/>
  <c r="N26" i="23"/>
  <c r="N27" i="23" s="1"/>
  <c r="P26" i="23"/>
  <c r="G8" i="23" s="1"/>
  <c r="H8" i="23" s="1"/>
  <c r="H25" i="2"/>
  <c r="J25" i="2" s="1"/>
  <c r="T6" i="23" l="1"/>
  <c r="P8" i="23"/>
  <c r="P14" i="23" s="1"/>
  <c r="P27" i="23" s="1"/>
  <c r="P45" i="23" s="1"/>
  <c r="P53" i="23" s="1"/>
  <c r="G21" i="2" s="1"/>
  <c r="H14" i="23"/>
  <c r="H27" i="23" s="1"/>
  <c r="F31" i="2"/>
  <c r="H31" i="2" s="1"/>
  <c r="J31" i="2" s="1"/>
  <c r="P56" i="23" l="1"/>
  <c r="P54" i="23"/>
  <c r="P55" i="23" s="1"/>
  <c r="F16" i="2"/>
  <c r="F22" i="2"/>
  <c r="F23" i="2"/>
  <c r="F24" i="2"/>
  <c r="F21" i="2"/>
  <c r="H21" i="2" s="1"/>
  <c r="H12" i="2"/>
  <c r="J12" i="2" s="1"/>
  <c r="H9" i="2"/>
  <c r="J9" i="2" s="1"/>
  <c r="H8" i="2"/>
  <c r="J8" i="2" s="1"/>
  <c r="H6" i="2"/>
  <c r="J6" i="2" s="1"/>
  <c r="H30" i="2" l="1"/>
  <c r="H24" i="2" l="1"/>
  <c r="H26" i="2"/>
  <c r="H22" i="2" l="1"/>
  <c r="J22" i="2" s="1"/>
  <c r="J30" i="2"/>
  <c r="J26" i="2"/>
  <c r="J24" i="2"/>
  <c r="H16" i="2"/>
  <c r="J16" i="2" s="1"/>
  <c r="J17" i="2" s="1"/>
  <c r="F13" i="2"/>
  <c r="F17" i="2" l="1"/>
  <c r="F18" i="2" s="1"/>
  <c r="J21" i="2"/>
  <c r="J32" i="2" l="1"/>
  <c r="J43" i="2" s="1"/>
  <c r="H17" i="2"/>
  <c r="H32" i="2" l="1"/>
  <c r="H23" i="2" l="1"/>
  <c r="H27" i="2" s="1"/>
  <c r="J23" i="2" l="1"/>
  <c r="J27" i="2" l="1"/>
  <c r="G7" i="2" l="1"/>
  <c r="H7" i="2" s="1"/>
  <c r="J7" i="2" l="1"/>
  <c r="J13" i="2" s="1"/>
  <c r="J18" i="2" s="1"/>
  <c r="J35" i="2" s="1"/>
  <c r="J45" i="2" s="1"/>
  <c r="J53" i="2" s="1"/>
  <c r="H13" i="2"/>
  <c r="H18" i="2" s="1"/>
  <c r="J46" i="2" l="1"/>
  <c r="J47" i="2" s="1"/>
  <c r="J4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<sst xmlns="http://schemas.openxmlformats.org/spreadsheetml/2006/main" count="938" uniqueCount="118">
  <si>
    <t>Task</t>
  </si>
  <si>
    <t># of techs</t>
  </si>
  <si>
    <t>COST</t>
  </si>
  <si>
    <t>Subtotal 1</t>
  </si>
  <si>
    <t>Subtotal 2</t>
  </si>
  <si>
    <t>Days</t>
  </si>
  <si>
    <t>Hours</t>
  </si>
  <si>
    <t>Project Management</t>
  </si>
  <si>
    <t>Engineering/Meetings</t>
  </si>
  <si>
    <t>Item</t>
  </si>
  <si>
    <t>Project Total</t>
  </si>
  <si>
    <t>Total Management</t>
  </si>
  <si>
    <t>Labour</t>
  </si>
  <si>
    <t>Subtotal Labour</t>
  </si>
  <si>
    <t>Project Subtotal</t>
  </si>
  <si>
    <t>Cash Allowance</t>
  </si>
  <si>
    <t>Subtotal Materials and Equipment</t>
  </si>
  <si>
    <t>Materials and Equipment</t>
  </si>
  <si>
    <t>Health and Safety</t>
  </si>
  <si>
    <t>Margin</t>
  </si>
  <si>
    <t>Utility Isolation</t>
  </si>
  <si>
    <t>HST</t>
  </si>
  <si>
    <t>TOTAL</t>
  </si>
  <si>
    <t>Subcontractors</t>
  </si>
  <si>
    <t>Subtotal Subcontractors</t>
  </si>
  <si>
    <t>Sub Total Labour</t>
  </si>
  <si>
    <t>ESA Submissions</t>
  </si>
  <si>
    <t>Total Hours</t>
  </si>
  <si>
    <t>Surcharge</t>
  </si>
  <si>
    <t>Total Surcharge</t>
  </si>
  <si>
    <t>Unit Price</t>
  </si>
  <si>
    <t>Material Item</t>
  </si>
  <si>
    <t>Units</t>
  </si>
  <si>
    <t>Other</t>
  </si>
  <si>
    <t>Days/Units</t>
  </si>
  <si>
    <t>HST Check for final price should be the same as above</t>
  </si>
  <si>
    <t>Forman - site supervision and civil</t>
  </si>
  <si>
    <t>Aluminum Bracket (Aluma Form)</t>
  </si>
  <si>
    <t>Misc. Subcontractors</t>
  </si>
  <si>
    <t>Misc. Materials</t>
  </si>
  <si>
    <t>Sheet Cost Summary</t>
  </si>
  <si>
    <t>Optional Work</t>
  </si>
  <si>
    <t>Project Options Subtotal</t>
  </si>
  <si>
    <t>Cost Analysis</t>
  </si>
  <si>
    <t>Company A</t>
  </si>
  <si>
    <t>Company B</t>
  </si>
  <si>
    <t>Company C</t>
  </si>
  <si>
    <t>Company D</t>
  </si>
  <si>
    <t>Price</t>
  </si>
  <si>
    <t>Discount</t>
  </si>
  <si>
    <t>Lodging</t>
  </si>
  <si>
    <t>Ainsworth</t>
  </si>
  <si>
    <t xml:space="preserve">Customer and Project Scope - </t>
  </si>
  <si>
    <t>AINSWORTH LABOUR</t>
  </si>
  <si>
    <t>Regular Labour Rates</t>
  </si>
  <si>
    <t>Premium Labour Rates</t>
  </si>
  <si>
    <t>Subtotal 3 - Sell Rate</t>
  </si>
  <si>
    <t>Regular Hours</t>
  </si>
  <si>
    <t>Total Regular Hours</t>
  </si>
  <si>
    <t>Regular Labour Rate</t>
  </si>
  <si>
    <t>O/T Hours</t>
  </si>
  <si>
    <t>Total O/T Hours</t>
  </si>
  <si>
    <t>O/T Labour Rate</t>
  </si>
  <si>
    <t>Mob/demob</t>
  </si>
  <si>
    <t>install</t>
  </si>
  <si>
    <t>assist</t>
  </si>
  <si>
    <t>MG Power and Associates Inc</t>
  </si>
  <si>
    <t xml:space="preserve">parking </t>
  </si>
  <si>
    <t>Millwrighting</t>
  </si>
  <si>
    <t>Temp Door</t>
  </si>
  <si>
    <t>Bonding Costs</t>
  </si>
  <si>
    <t>Units/Length</t>
  </si>
  <si>
    <t>ABB SWGR</t>
  </si>
  <si>
    <t>parking</t>
  </si>
  <si>
    <t>Rigid 90deg - 2"</t>
  </si>
  <si>
    <t>Rigid Bullet Hub Connectors - 2" and Nut</t>
  </si>
  <si>
    <t>YGA282N - 2 Hole Lug, #4/o AWG</t>
  </si>
  <si>
    <t>Mounting tape - VBH F-9473PB by 3M</t>
  </si>
  <si>
    <t>Foam tape - VBH F-4910 by 3M</t>
  </si>
  <si>
    <t>AS-7096N Sealant</t>
  </si>
  <si>
    <t>Breaker HLL36060</t>
  </si>
  <si>
    <t>Pull Box, EEMAC-1 300mX300mmX150mm (P/N: CS12126)</t>
  </si>
  <si>
    <t>Switching</t>
  </si>
  <si>
    <t>16 kV Breakers: Four (4) Siemens vacuum type breakers M13-1, M13-3, M13-4 and M13-6</t>
  </si>
  <si>
    <t>2500 KVA transformer (CUB-T1)</t>
  </si>
  <si>
    <t>Switchgear CUB SWGR 600 Volt Cutler-Hammer Drawout Magnum Main</t>
  </si>
  <si>
    <t>2500 KVA transformer (CUB-T2)</t>
  </si>
  <si>
    <t>8200 KVA CUB Cogen transformer</t>
  </si>
  <si>
    <t>5 kV Breakers: Four (4) Square vacuum type breakers</t>
  </si>
  <si>
    <t>750 kVA Black Start transformer</t>
  </si>
  <si>
    <t>Pole Work</t>
  </si>
  <si>
    <t>APS (Cost)</t>
  </si>
  <si>
    <t>Regular</t>
  </si>
  <si>
    <t>Regular W/truck</t>
  </si>
  <si>
    <t>Double Time</t>
  </si>
  <si>
    <t>Double Time W/truck</t>
  </si>
  <si>
    <t>Shift 20%</t>
  </si>
  <si>
    <t>Shift 20% W/truck</t>
  </si>
  <si>
    <t>FOREMAN                                          </t>
  </si>
  <si>
    <t>JOURNEYMAN                                 </t>
  </si>
  <si>
    <t>APPRENTICE #5                                </t>
  </si>
  <si>
    <t>APPRENTICE #4                                </t>
  </si>
  <si>
    <t>APPRENTICE #3                              </t>
  </si>
  <si>
    <t xml:space="preserve">APPRENTICE #2                                 </t>
  </si>
  <si>
    <t xml:space="preserve">APPRENTICE #1                                 </t>
  </si>
  <si>
    <t>APS (Sell)</t>
  </si>
  <si>
    <t>Bonding</t>
  </si>
  <si>
    <t>rate/Moths</t>
  </si>
  <si>
    <t>First $2.5M</t>
  </si>
  <si>
    <t>Second $2.5M</t>
  </si>
  <si>
    <t>Third $2.5M</t>
  </si>
  <si>
    <t>Subtotal</t>
  </si>
  <si>
    <t>after 24 months</t>
  </si>
  <si>
    <t>Grand Total for Bond</t>
  </si>
  <si>
    <t>Sell Price</t>
  </si>
  <si>
    <t>Alectra</t>
  </si>
  <si>
    <t>Batteries</t>
  </si>
  <si>
    <t>pre apprentice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</si>
</sst>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Segoe UI"/>
      <family val="2"/>
    </font>
    <font>
      <b/>
      <sz val="12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92">
    <xf numFmtId="0" fontId="0" fillId="0" borderId="0" xfId="0"/>
    <xf numFmtId="0" fontId="3" fillId="2" borderId="12" xfId="0" applyFont="1" applyFill="1" applyBorder="1" applyAlignment="1">
      <alignment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3" fillId="2" borderId="12" xfId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164" fontId="5" fillId="0" borderId="1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164" fontId="4" fillId="0" borderId="1" xfId="0" applyNumberFormat="1" applyFont="1" applyBorder="1" applyAlignment="1">
      <alignment vertical="center" wrapText="1"/>
    </xf>
    <xf numFmtId="164" fontId="4" fillId="0" borderId="1" xfId="1" applyFont="1" applyFill="1" applyBorder="1" applyAlignment="1">
      <alignment horizontal="center" vertical="center" wrapText="1"/>
    </xf>
    <xf numFmtId="164" fontId="4" fillId="0" borderId="4" xfId="0" applyNumberFormat="1" applyFont="1" applyBorder="1" applyAlignment="1">
      <alignment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left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164" fontId="5" fillId="0" borderId="8" xfId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8" xfId="0" applyFont="1" applyBorder="1" applyAlignment="1">
      <alignment horizontal="center" vertical="center" wrapText="1"/>
    </xf>
    <xf numFmtId="0" fontId="5" fillId="0" borderId="8" xfId="0" applyFont="1" applyBorder="1" applyAlignment="1">
      <alignment vertical="center" wrapText="1"/>
    </xf>
    <xf numFmtId="0" fontId="4" fillId="0" borderId="3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164" fontId="7" fillId="0" borderId="1" xfId="0" applyNumberFormat="1" applyFont="1" applyBorder="1" applyAlignment="1">
      <alignment vertical="center"/>
    </xf>
    <xf numFmtId="164" fontId="2" fillId="0" borderId="0" xfId="0" applyNumberFormat="1" applyFont="1" applyAlignment="1">
      <alignment vertical="center"/>
    </xf>
    <xf numFmtId="164" fontId="7" fillId="0" borderId="0" xfId="0" applyNumberFormat="1" applyFont="1" applyAlignment="1">
      <alignment horizontal="center" vertical="center"/>
    </xf>
    <xf numFmtId="0" fontId="5" fillId="0" borderId="1" xfId="0" quotePrefix="1" applyFont="1" applyBorder="1" applyAlignment="1">
      <alignment horizontal="left" vertical="center" wrapText="1"/>
    </xf>
    <xf numFmtId="164" fontId="7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6" fillId="6" borderId="17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164" fontId="3" fillId="5" borderId="12" xfId="1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164" fontId="6" fillId="3" borderId="12" xfId="1" applyFont="1" applyFill="1" applyBorder="1" applyAlignment="1">
      <alignment horizontal="center" vertical="center" wrapText="1"/>
    </xf>
    <xf numFmtId="164" fontId="5" fillId="3" borderId="8" xfId="1" applyFont="1" applyFill="1" applyBorder="1" applyAlignment="1">
      <alignment horizontal="center" vertical="center" wrapText="1"/>
    </xf>
    <xf numFmtId="164" fontId="5" fillId="0" borderId="24" xfId="1" applyFont="1" applyFill="1" applyBorder="1" applyAlignment="1">
      <alignment horizontal="center" vertical="center" wrapText="1"/>
    </xf>
    <xf numFmtId="0" fontId="5" fillId="3" borderId="25" xfId="1" applyNumberFormat="1" applyFont="1" applyFill="1" applyBorder="1" applyAlignment="1">
      <alignment horizontal="center" vertical="center" wrapText="1"/>
    </xf>
    <xf numFmtId="0" fontId="5" fillId="3" borderId="26" xfId="1" applyNumberFormat="1" applyFont="1" applyFill="1" applyBorder="1" applyAlignment="1">
      <alignment horizontal="center" vertical="center" wrapText="1"/>
    </xf>
    <xf numFmtId="164" fontId="5" fillId="3" borderId="26" xfId="1" applyFont="1" applyFill="1" applyBorder="1" applyAlignment="1">
      <alignment horizontal="center" vertical="center" wrapText="1"/>
    </xf>
    <xf numFmtId="164" fontId="5" fillId="0" borderId="27" xfId="1" applyFont="1" applyFill="1" applyBorder="1" applyAlignment="1">
      <alignment horizontal="center" vertical="center" wrapText="1"/>
    </xf>
    <xf numFmtId="164" fontId="5" fillId="6" borderId="28" xfId="1" applyFont="1" applyFill="1" applyBorder="1" applyAlignment="1">
      <alignment horizontal="center" vertical="center" wrapText="1"/>
    </xf>
    <xf numFmtId="164" fontId="5" fillId="0" borderId="29" xfId="1" applyFont="1" applyFill="1" applyBorder="1" applyAlignment="1">
      <alignment horizontal="center" vertical="center" wrapText="1"/>
    </xf>
    <xf numFmtId="0" fontId="5" fillId="3" borderId="30" xfId="1" applyNumberFormat="1" applyFont="1" applyFill="1" applyBorder="1" applyAlignment="1">
      <alignment horizontal="center" vertical="center" wrapText="1"/>
    </xf>
    <xf numFmtId="0" fontId="5" fillId="3" borderId="8" xfId="1" applyNumberFormat="1" applyFont="1" applyFill="1" applyBorder="1" applyAlignment="1">
      <alignment horizontal="center" vertical="center" wrapText="1"/>
    </xf>
    <xf numFmtId="164" fontId="5" fillId="6" borderId="31" xfId="1" applyFont="1" applyFill="1" applyBorder="1" applyAlignment="1">
      <alignment horizontal="center" vertical="center" wrapText="1"/>
    </xf>
    <xf numFmtId="164" fontId="5" fillId="6" borderId="32" xfId="1" applyFont="1" applyFill="1" applyBorder="1" applyAlignment="1">
      <alignment horizontal="center" vertical="center" wrapText="1"/>
    </xf>
    <xf numFmtId="164" fontId="4" fillId="0" borderId="33" xfId="0" applyNumberFormat="1" applyFont="1" applyBorder="1" applyAlignment="1">
      <alignment horizontal="center" vertical="center" wrapText="1"/>
    </xf>
    <xf numFmtId="0" fontId="4" fillId="3" borderId="37" xfId="0" applyFont="1" applyFill="1" applyBorder="1" applyAlignment="1">
      <alignment horizontal="center" vertical="center" wrapText="1"/>
    </xf>
    <xf numFmtId="164" fontId="4" fillId="0" borderId="37" xfId="0" applyNumberFormat="1" applyFont="1" applyBorder="1" applyAlignment="1">
      <alignment horizontal="center" vertical="center" wrapText="1"/>
    </xf>
    <xf numFmtId="164" fontId="4" fillId="0" borderId="3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6" borderId="39" xfId="1" applyFont="1" applyFill="1" applyBorder="1" applyAlignment="1">
      <alignment horizontal="center" vertical="center" wrapText="1"/>
    </xf>
    <xf numFmtId="164" fontId="5" fillId="3" borderId="1" xfId="1" applyFont="1" applyFill="1" applyBorder="1" applyAlignment="1">
      <alignment horizontal="center" vertical="center" wrapText="1"/>
    </xf>
    <xf numFmtId="164" fontId="5" fillId="0" borderId="2" xfId="1" applyFont="1" applyFill="1" applyBorder="1" applyAlignment="1">
      <alignment horizontal="center" vertical="center" wrapText="1"/>
    </xf>
    <xf numFmtId="0" fontId="5" fillId="3" borderId="40" xfId="1" applyNumberFormat="1" applyFont="1" applyFill="1" applyBorder="1" applyAlignment="1">
      <alignment horizontal="center" vertical="center" wrapText="1"/>
    </xf>
    <xf numFmtId="0" fontId="5" fillId="3" borderId="1" xfId="1" applyNumberFormat="1" applyFont="1" applyFill="1" applyBorder="1" applyAlignment="1">
      <alignment horizontal="center" vertical="center" wrapText="1"/>
    </xf>
    <xf numFmtId="164" fontId="5" fillId="0" borderId="33" xfId="1" applyFont="1" applyFill="1" applyBorder="1" applyAlignment="1">
      <alignment horizontal="center" vertical="center" wrapText="1"/>
    </xf>
    <xf numFmtId="4" fontId="10" fillId="0" borderId="0" xfId="0" applyNumberFormat="1" applyFont="1"/>
    <xf numFmtId="44" fontId="2" fillId="0" borderId="0" xfId="0" applyNumberFormat="1" applyFont="1" applyAlignment="1">
      <alignment vertical="center"/>
    </xf>
    <xf numFmtId="164" fontId="4" fillId="0" borderId="2" xfId="0" applyNumberFormat="1" applyFont="1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164" fontId="4" fillId="0" borderId="33" xfId="0" applyNumberFormat="1" applyFont="1" applyBorder="1" applyAlignment="1">
      <alignment vertical="center" wrapText="1"/>
    </xf>
    <xf numFmtId="164" fontId="4" fillId="6" borderId="31" xfId="1" applyFont="1" applyFill="1" applyBorder="1" applyAlignment="1">
      <alignment horizontal="center" vertical="center" wrapText="1"/>
    </xf>
    <xf numFmtId="164" fontId="4" fillId="0" borderId="38" xfId="0" applyNumberFormat="1" applyFont="1" applyBorder="1" applyAlignment="1">
      <alignment vertical="center" wrapText="1"/>
    </xf>
    <xf numFmtId="0" fontId="3" fillId="5" borderId="12" xfId="0" applyFont="1" applyFill="1" applyBorder="1" applyAlignment="1">
      <alignment vertical="center" wrapText="1"/>
    </xf>
    <xf numFmtId="164" fontId="5" fillId="6" borderId="28" xfId="0" applyNumberFormat="1" applyFont="1" applyFill="1" applyBorder="1" applyAlignment="1">
      <alignment horizontal="center" vertical="center" wrapText="1"/>
    </xf>
    <xf numFmtId="164" fontId="5" fillId="6" borderId="32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64" fontId="5" fillId="0" borderId="0" xfId="0" applyNumberFormat="1" applyFont="1" applyAlignment="1">
      <alignment vertical="center"/>
    </xf>
    <xf numFmtId="164" fontId="4" fillId="6" borderId="39" xfId="0" applyNumberFormat="1" applyFont="1" applyFill="1" applyBorder="1" applyAlignment="1">
      <alignment horizontal="center" vertical="center"/>
    </xf>
    <xf numFmtId="164" fontId="7" fillId="6" borderId="1" xfId="0" applyNumberFormat="1" applyFont="1" applyFill="1" applyBorder="1" applyAlignment="1">
      <alignment vertical="center"/>
    </xf>
    <xf numFmtId="164" fontId="7" fillId="7" borderId="4" xfId="0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0" fontId="11" fillId="0" borderId="0" xfId="0" applyFont="1"/>
    <xf numFmtId="0" fontId="11" fillId="0" borderId="1" xfId="0" applyFont="1" applyBorder="1"/>
    <xf numFmtId="164" fontId="4" fillId="0" borderId="2" xfId="0" applyNumberFormat="1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44" fontId="2" fillId="0" borderId="8" xfId="0" applyNumberFormat="1" applyFont="1" applyBorder="1" applyAlignment="1">
      <alignment horizontal="center" vertical="center"/>
    </xf>
    <xf numFmtId="44" fontId="13" fillId="0" borderId="8" xfId="0" applyNumberFormat="1" applyFont="1" applyBorder="1" applyAlignment="1">
      <alignment horizontal="center" vertical="center"/>
    </xf>
    <xf numFmtId="44" fontId="14" fillId="0" borderId="8" xfId="0" applyNumberFormat="1" applyFont="1" applyBorder="1" applyAlignment="1">
      <alignment horizontal="center" vertical="center"/>
    </xf>
    <xf numFmtId="44" fontId="12" fillId="0" borderId="8" xfId="0" applyNumberFormat="1" applyFont="1" applyBorder="1" applyAlignment="1">
      <alignment horizontal="center" vertical="center"/>
    </xf>
    <xf numFmtId="44" fontId="2" fillId="0" borderId="1" xfId="0" applyNumberFormat="1" applyFont="1" applyBorder="1" applyAlignment="1">
      <alignment horizontal="center" vertical="center"/>
    </xf>
    <xf numFmtId="44" fontId="13" fillId="0" borderId="1" xfId="0" applyNumberFormat="1" applyFont="1" applyBorder="1" applyAlignment="1">
      <alignment horizontal="center" vertical="center"/>
    </xf>
    <xf numFmtId="44" fontId="14" fillId="0" borderId="1" xfId="0" applyNumberFormat="1" applyFont="1" applyBorder="1" applyAlignment="1">
      <alignment horizontal="center" vertical="center"/>
    </xf>
    <xf numFmtId="44" fontId="12" fillId="0" borderId="1" xfId="0" applyNumberFormat="1" applyFont="1" applyBorder="1" applyAlignment="1">
      <alignment horizontal="center" vertical="center"/>
    </xf>
    <xf numFmtId="44" fontId="2" fillId="0" borderId="1" xfId="0" applyNumberFormat="1" applyFont="1" applyBorder="1" applyAlignment="1">
      <alignment vertical="center"/>
    </xf>
    <xf numFmtId="0" fontId="2" fillId="0" borderId="12" xfId="0" applyFont="1" applyBorder="1" applyAlignment="1">
      <alignment horizontal="center" vertical="center" wrapText="1"/>
    </xf>
    <xf numFmtId="44" fontId="2" fillId="0" borderId="49" xfId="0" applyNumberFormat="1" applyFont="1" applyBorder="1" applyAlignment="1">
      <alignment horizontal="center" vertical="center"/>
    </xf>
    <xf numFmtId="44" fontId="2" fillId="0" borderId="50" xfId="0" applyNumberFormat="1" applyFont="1" applyBorder="1" applyAlignment="1">
      <alignment horizontal="center" vertical="center"/>
    </xf>
    <xf numFmtId="44" fontId="2" fillId="0" borderId="0" xfId="0" applyNumberFormat="1" applyFont="1" applyAlignment="1">
      <alignment horizontal="center" vertical="center"/>
    </xf>
    <xf numFmtId="44" fontId="2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44" fontId="2" fillId="0" borderId="53" xfId="0" applyNumberFormat="1" applyFont="1" applyBorder="1" applyAlignment="1">
      <alignment horizontal="center" vertical="center"/>
    </xf>
    <xf numFmtId="44" fontId="2" fillId="0" borderId="54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4" fontId="2" fillId="0" borderId="8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2" fillId="0" borderId="6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164" fontId="5" fillId="3" borderId="4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5" fillId="0" borderId="50" xfId="0" applyFont="1" applyBorder="1" applyAlignment="1">
      <alignment horizontal="center" vertical="center" wrapText="1"/>
    </xf>
    <xf numFmtId="164" fontId="5" fillId="3" borderId="49" xfId="0" applyNumberFormat="1" applyFont="1" applyFill="1" applyBorder="1" applyAlignment="1">
      <alignment horizontal="center" vertical="center" wrapText="1"/>
    </xf>
    <xf numFmtId="164" fontId="5" fillId="3" borderId="50" xfId="0" applyNumberFormat="1" applyFont="1" applyFill="1" applyBorder="1" applyAlignment="1">
      <alignment horizontal="center" vertical="center" wrapText="1"/>
    </xf>
    <xf numFmtId="164" fontId="5" fillId="0" borderId="49" xfId="0" applyNumberFormat="1" applyFont="1" applyBorder="1" applyAlignment="1">
      <alignment horizontal="center" vertical="center" wrapText="1"/>
    </xf>
    <xf numFmtId="164" fontId="5" fillId="0" borderId="50" xfId="0" applyNumberFormat="1" applyFont="1" applyBorder="1" applyAlignment="1">
      <alignment horizontal="center" vertical="center" wrapText="1"/>
    </xf>
    <xf numFmtId="0" fontId="4" fillId="0" borderId="51" xfId="0" applyFont="1" applyBorder="1" applyAlignment="1">
      <alignment horizontal="left" vertical="center" wrapText="1"/>
    </xf>
    <xf numFmtId="0" fontId="4" fillId="0" borderId="52" xfId="0" applyFont="1" applyBorder="1" applyAlignment="1">
      <alignment horizontal="left" vertical="center" wrapText="1"/>
    </xf>
    <xf numFmtId="0" fontId="6" fillId="4" borderId="13" xfId="0" applyFont="1" applyFill="1" applyBorder="1" applyAlignment="1">
      <alignment horizontal="center" vertical="center" wrapText="1"/>
    </xf>
    <xf numFmtId="0" fontId="6" fillId="4" borderId="14" xfId="0" applyFont="1" applyFill="1" applyBorder="1" applyAlignment="1">
      <alignment horizontal="center" vertical="center" wrapText="1"/>
    </xf>
    <xf numFmtId="0" fontId="6" fillId="4" borderId="22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164" fontId="3" fillId="5" borderId="13" xfId="1" applyFont="1" applyFill="1" applyBorder="1" applyAlignment="1">
      <alignment horizontal="center" vertical="center" wrapText="1"/>
    </xf>
    <xf numFmtId="164" fontId="3" fillId="5" borderId="15" xfId="1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164" fontId="5" fillId="0" borderId="9" xfId="0" applyNumberFormat="1" applyFont="1" applyBorder="1" applyAlignment="1">
      <alignment horizontal="center" vertical="center" wrapText="1"/>
    </xf>
    <xf numFmtId="164" fontId="5" fillId="0" borderId="11" xfId="0" applyNumberFormat="1" applyFont="1" applyBorder="1" applyAlignment="1">
      <alignment horizontal="center" vertical="center" wrapText="1"/>
    </xf>
    <xf numFmtId="164" fontId="5" fillId="0" borderId="2" xfId="0" applyNumberFormat="1" applyFont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0" fontId="5" fillId="0" borderId="47" xfId="0" applyFont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164" fontId="5" fillId="3" borderId="47" xfId="0" applyNumberFormat="1" applyFont="1" applyFill="1" applyBorder="1" applyAlignment="1">
      <alignment horizontal="center" vertical="center" wrapText="1"/>
    </xf>
    <xf numFmtId="164" fontId="5" fillId="3" borderId="48" xfId="0" applyNumberFormat="1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4" fontId="4" fillId="0" borderId="42" xfId="0" applyNumberFormat="1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164" fontId="4" fillId="0" borderId="43" xfId="0" applyNumberFormat="1" applyFont="1" applyBorder="1" applyAlignment="1">
      <alignment horizontal="center" vertical="center" wrapText="1"/>
    </xf>
    <xf numFmtId="164" fontId="4" fillId="0" borderId="44" xfId="0" applyNumberFormat="1" applyFont="1" applyBorder="1" applyAlignment="1">
      <alignment horizontal="center" vertical="center" wrapText="1"/>
    </xf>
    <xf numFmtId="164" fontId="4" fillId="0" borderId="45" xfId="0" applyNumberFormat="1" applyFont="1" applyBorder="1" applyAlignment="1">
      <alignment horizontal="center" vertical="center" wrapText="1"/>
    </xf>
    <xf numFmtId="164" fontId="4" fillId="0" borderId="41" xfId="0" applyNumberFormat="1" applyFont="1" applyBorder="1" applyAlignment="1">
      <alignment horizontal="center" vertical="center" wrapText="1"/>
    </xf>
    <xf numFmtId="164" fontId="4" fillId="0" borderId="46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 wrapText="1"/>
    </xf>
    <xf numFmtId="0" fontId="3" fillId="5" borderId="2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6" borderId="17" xfId="0" applyFont="1" applyFill="1" applyBorder="1" applyAlignment="1">
      <alignment horizontal="center" vertical="center" wrapText="1"/>
    </xf>
    <xf numFmtId="0" fontId="6" fillId="6" borderId="23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vertical="center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6"/>
  <sheetViews>
    <sheetView topLeftCell="A5" zoomScale="80" zoomScaleNormal="80" workbookViewId="0">
      <selection activeCell="C18" sqref="C18"/>
    </sheetView>
  </sheetViews>
  <sheetFormatPr defaultRowHeight="15.75" x14ac:dyDescent="0.25"/>
  <cols>
    <col min="1" max="1" width="9.140625" style="27"/>
    <col min="2" max="2" width="31.28515625" style="27" bestFit="1" customWidth="1"/>
    <col min="3" max="3" width="14.140625" style="27" customWidth="1"/>
    <col min="4" max="4" width="8.5703125" style="27" customWidth="1"/>
    <col min="5" max="5" width="9.42578125" style="27" customWidth="1"/>
    <col min="6" max="6" width="15.7109375" style="27" customWidth="1"/>
    <col min="7" max="7" width="15.42578125" style="27" customWidth="1"/>
    <col min="8" max="8" width="18.42578125" style="27" bestFit="1" customWidth="1"/>
    <col min="9" max="9" width="14.85546875" style="27" customWidth="1"/>
    <col min="10" max="10" width="22" style="27" customWidth="1"/>
    <col min="11" max="16384" width="9.140625" style="27"/>
  </cols>
  <sheetData>
    <row r="1" spans="1:14" ht="15.75" customHeight="1" x14ac:dyDescent="0.25">
      <c r="A1" s="174" t="s">
        <v>52</v>
      </c>
      <c r="B1" s="175"/>
      <c r="C1" s="175"/>
      <c r="D1" s="175"/>
      <c r="E1" s="175"/>
      <c r="F1" s="175"/>
      <c r="G1" s="175"/>
      <c r="H1" s="175"/>
      <c r="I1" s="175"/>
      <c r="J1" s="176"/>
    </row>
    <row r="2" spans="1:14" ht="16.5" customHeight="1" thickBot="1" x14ac:dyDescent="0.3">
      <c r="A2" s="177"/>
      <c r="B2" s="178"/>
      <c r="C2" s="178"/>
      <c r="D2" s="178"/>
      <c r="E2" s="178"/>
      <c r="F2" s="178"/>
      <c r="G2" s="178"/>
      <c r="H2" s="178"/>
      <c r="I2" s="178"/>
      <c r="J2" s="179"/>
    </row>
    <row r="3" spans="1:14" ht="19.5" thickBot="1" x14ac:dyDescent="0.3">
      <c r="A3" s="150" t="s">
        <v>53</v>
      </c>
      <c r="B3" s="150"/>
      <c r="C3" s="150"/>
      <c r="D3" s="150"/>
      <c r="E3" s="150"/>
      <c r="F3" s="150"/>
      <c r="G3" s="150"/>
      <c r="H3" s="150"/>
      <c r="I3" s="150"/>
      <c r="J3" s="150"/>
    </row>
    <row r="4" spans="1:14" ht="19.5" thickBot="1" x14ac:dyDescent="0.3">
      <c r="A4" s="1" t="s">
        <v>9</v>
      </c>
      <c r="B4" s="1" t="s">
        <v>0</v>
      </c>
      <c r="C4" s="2" t="s">
        <v>1</v>
      </c>
      <c r="D4" s="2" t="s">
        <v>5</v>
      </c>
      <c r="E4" s="2" t="s">
        <v>6</v>
      </c>
      <c r="F4" s="2" t="s">
        <v>27</v>
      </c>
      <c r="G4" s="3" t="s">
        <v>2</v>
      </c>
      <c r="H4" s="3" t="s">
        <v>3</v>
      </c>
      <c r="I4" s="2" t="s">
        <v>19</v>
      </c>
      <c r="J4" s="2" t="s">
        <v>4</v>
      </c>
    </row>
    <row r="5" spans="1:14" ht="34.5" customHeight="1" thickBot="1" x14ac:dyDescent="0.3">
      <c r="A5" s="150" t="s">
        <v>7</v>
      </c>
      <c r="B5" s="150"/>
      <c r="C5" s="150"/>
      <c r="D5" s="150"/>
      <c r="E5" s="150"/>
      <c r="F5" s="150"/>
      <c r="G5" s="150"/>
      <c r="H5" s="150"/>
      <c r="I5" s="150"/>
      <c r="J5" s="150"/>
    </row>
    <row r="6" spans="1:14" x14ac:dyDescent="0.25">
      <c r="A6" s="23">
        <v>1</v>
      </c>
      <c r="B6" s="24" t="s">
        <v>8</v>
      </c>
      <c r="C6" s="13">
        <v>0</v>
      </c>
      <c r="D6" s="13">
        <v>0</v>
      </c>
      <c r="E6" s="13"/>
      <c r="F6" s="13">
        <f>C6*D6*E6</f>
        <v>0</v>
      </c>
      <c r="G6" s="39">
        <v>90</v>
      </c>
      <c r="H6" s="16">
        <f>F6*G6</f>
        <v>0</v>
      </c>
      <c r="I6" s="5">
        <v>0.85</v>
      </c>
      <c r="J6" s="16">
        <f>H6/I6</f>
        <v>0</v>
      </c>
    </row>
    <row r="7" spans="1:14" x14ac:dyDescent="0.25">
      <c r="A7" s="23">
        <v>2</v>
      </c>
      <c r="B7" s="4" t="s">
        <v>7</v>
      </c>
      <c r="C7" s="13">
        <v>0.05</v>
      </c>
      <c r="D7" s="13">
        <v>1</v>
      </c>
      <c r="E7" s="13">
        <v>1</v>
      </c>
      <c r="F7" s="13">
        <f>C7*D7*E7</f>
        <v>0.05</v>
      </c>
      <c r="G7" s="39">
        <f>J6+J8+J9+J10+J11+J12+J16+J27+J32</f>
        <v>2796.539792387543</v>
      </c>
      <c r="H7" s="16">
        <f t="shared" ref="H7:H12" si="0">F7*G7</f>
        <v>139.82698961937714</v>
      </c>
      <c r="I7" s="5">
        <v>0.85</v>
      </c>
      <c r="J7" s="6">
        <f t="shared" ref="J7:J12" si="1">H7/I7</f>
        <v>164.502340728679</v>
      </c>
    </row>
    <row r="8" spans="1:14" s="21" customFormat="1" ht="15.75" customHeight="1" x14ac:dyDescent="0.25">
      <c r="A8" s="23">
        <v>3</v>
      </c>
      <c r="B8" s="4" t="s">
        <v>26</v>
      </c>
      <c r="C8" s="13"/>
      <c r="D8" s="13"/>
      <c r="E8" s="13"/>
      <c r="F8" s="13">
        <f>C8*D8*E8</f>
        <v>0</v>
      </c>
      <c r="G8" s="39">
        <v>2000</v>
      </c>
      <c r="H8" s="16">
        <f t="shared" si="0"/>
        <v>0</v>
      </c>
      <c r="I8" s="5">
        <v>0.85</v>
      </c>
      <c r="J8" s="6">
        <f t="shared" si="1"/>
        <v>0</v>
      </c>
      <c r="N8" s="27"/>
    </row>
    <row r="9" spans="1:14" x14ac:dyDescent="0.25">
      <c r="A9" s="23">
        <v>4</v>
      </c>
      <c r="B9" s="4" t="s">
        <v>38</v>
      </c>
      <c r="C9" s="13">
        <v>0.05</v>
      </c>
      <c r="D9" s="13">
        <v>1</v>
      </c>
      <c r="E9" s="13">
        <v>1</v>
      </c>
      <c r="F9" s="13">
        <f t="shared" ref="F9:F11" si="2">C9*D9*E9</f>
        <v>0.05</v>
      </c>
      <c r="G9" s="39">
        <f>'Location 1'!P37+'Location 2'!P33+'Location 3'!P36+'Location 4'!P36+'Location 5'!P36+'Location 6'!P36+'Option 1'!P36</f>
        <v>2222.2222222222222</v>
      </c>
      <c r="H9" s="16">
        <f t="shared" si="0"/>
        <v>111.11111111111111</v>
      </c>
      <c r="I9" s="5">
        <v>0.85</v>
      </c>
      <c r="J9" s="6">
        <f t="shared" si="1"/>
        <v>130.71895424836603</v>
      </c>
    </row>
    <row r="10" spans="1:14" x14ac:dyDescent="0.25">
      <c r="A10" s="23">
        <v>5</v>
      </c>
      <c r="B10" s="4" t="s">
        <v>39</v>
      </c>
      <c r="C10" s="13">
        <v>0.05</v>
      </c>
      <c r="D10" s="13">
        <v>1</v>
      </c>
      <c r="E10" s="13">
        <v>1</v>
      </c>
      <c r="F10" s="13">
        <f t="shared" si="2"/>
        <v>0.05</v>
      </c>
      <c r="G10" s="39">
        <f>'Location 1'!P42+'Location 2'!P44+'Location 3'!P62+'Location 4'!P62+'Location 5'!P62+'Location 6'!P62+'Option 1'!P62</f>
        <v>141.1764705882353</v>
      </c>
      <c r="H10" s="16">
        <f t="shared" si="0"/>
        <v>7.0588235294117654</v>
      </c>
      <c r="I10" s="5">
        <v>0.85</v>
      </c>
      <c r="J10" s="6">
        <f t="shared" si="1"/>
        <v>8.3044982698961949</v>
      </c>
    </row>
    <row r="11" spans="1:14" x14ac:dyDescent="0.25">
      <c r="A11" s="23">
        <v>6</v>
      </c>
      <c r="B11" s="4" t="s">
        <v>18</v>
      </c>
      <c r="C11" s="13"/>
      <c r="D11" s="13"/>
      <c r="E11" s="13"/>
      <c r="F11" s="13">
        <f t="shared" si="2"/>
        <v>0</v>
      </c>
      <c r="G11" s="39">
        <v>80</v>
      </c>
      <c r="H11" s="16">
        <f t="shared" si="0"/>
        <v>0</v>
      </c>
      <c r="I11" s="5">
        <v>0.85</v>
      </c>
      <c r="J11" s="6">
        <f t="shared" si="1"/>
        <v>0</v>
      </c>
    </row>
    <row r="12" spans="1:14" x14ac:dyDescent="0.25">
      <c r="A12" s="23">
        <v>7</v>
      </c>
      <c r="B12" s="4" t="s">
        <v>50</v>
      </c>
      <c r="C12" s="13"/>
      <c r="D12" s="13"/>
      <c r="E12" s="13"/>
      <c r="F12" s="13">
        <f>C12*D12*E12</f>
        <v>0</v>
      </c>
      <c r="G12" s="39"/>
      <c r="H12" s="16">
        <f t="shared" si="0"/>
        <v>0</v>
      </c>
      <c r="I12" s="5">
        <v>0.85</v>
      </c>
      <c r="J12" s="6">
        <f t="shared" si="1"/>
        <v>0</v>
      </c>
    </row>
    <row r="13" spans="1:14" s="21" customFormat="1" ht="15.75" customHeight="1" x14ac:dyDescent="0.25">
      <c r="A13" s="157" t="s">
        <v>11</v>
      </c>
      <c r="B13" s="158"/>
      <c r="C13" s="7"/>
      <c r="D13" s="7"/>
      <c r="E13" s="7"/>
      <c r="F13" s="8">
        <f>SUM(F6:F12)</f>
        <v>0.15000000000000002</v>
      </c>
      <c r="G13" s="9"/>
      <c r="H13" s="10">
        <f>SUM(H6:H12)</f>
        <v>257.99692425990003</v>
      </c>
      <c r="I13" s="9"/>
      <c r="J13" s="11">
        <f>SUM(J6:J12)</f>
        <v>303.52579324694125</v>
      </c>
    </row>
    <row r="14" spans="1:14" s="21" customFormat="1" ht="34.5" customHeight="1" x14ac:dyDescent="0.25">
      <c r="A14" s="155"/>
      <c r="B14" s="155"/>
      <c r="C14" s="155"/>
      <c r="D14" s="155"/>
      <c r="E14" s="155"/>
      <c r="F14" s="155"/>
      <c r="G14" s="155"/>
      <c r="H14" s="155"/>
      <c r="I14" s="155"/>
      <c r="J14" s="155"/>
    </row>
    <row r="15" spans="1:14" s="21" customFormat="1" x14ac:dyDescent="0.25">
      <c r="A15" s="157" t="s">
        <v>12</v>
      </c>
      <c r="B15" s="158"/>
      <c r="C15" s="158"/>
      <c r="D15" s="158"/>
      <c r="E15" s="158"/>
      <c r="F15" s="158"/>
      <c r="G15" s="158"/>
      <c r="H15" s="158"/>
      <c r="I15" s="158"/>
      <c r="J15" s="161"/>
    </row>
    <row r="16" spans="1:14" s="21" customFormat="1" x14ac:dyDescent="0.25">
      <c r="A16" s="26">
        <v>1</v>
      </c>
      <c r="B16" s="4" t="s">
        <v>33</v>
      </c>
      <c r="C16" s="5"/>
      <c r="D16" s="5"/>
      <c r="E16" s="5"/>
      <c r="F16" s="5">
        <f>C16*D16*E16</f>
        <v>0</v>
      </c>
      <c r="G16" s="6"/>
      <c r="H16" s="6">
        <f t="shared" ref="H16" si="3">F16*G16</f>
        <v>0</v>
      </c>
      <c r="I16" s="5">
        <v>0.85</v>
      </c>
      <c r="J16" s="6">
        <f t="shared" ref="J16" si="4">H16/I16</f>
        <v>0</v>
      </c>
    </row>
    <row r="17" spans="1:10" s="21" customFormat="1" x14ac:dyDescent="0.25">
      <c r="A17" s="157" t="s">
        <v>25</v>
      </c>
      <c r="B17" s="158"/>
      <c r="C17" s="158"/>
      <c r="D17" s="158"/>
      <c r="E17" s="161"/>
      <c r="F17" s="8">
        <f>SUM(F16:F16)</f>
        <v>0</v>
      </c>
      <c r="G17" s="8"/>
      <c r="H17" s="10">
        <f>SUM(H16:H16)</f>
        <v>0</v>
      </c>
      <c r="I17" s="5"/>
      <c r="J17" s="11">
        <f>SUM(J16:J16)</f>
        <v>0</v>
      </c>
    </row>
    <row r="18" spans="1:10" s="21" customFormat="1" ht="16.5" customHeight="1" x14ac:dyDescent="0.25">
      <c r="A18" s="157" t="s">
        <v>13</v>
      </c>
      <c r="B18" s="158"/>
      <c r="C18" s="25"/>
      <c r="D18" s="25"/>
      <c r="E18" s="25"/>
      <c r="F18" s="8">
        <f>F13+F17</f>
        <v>0.15000000000000002</v>
      </c>
      <c r="G18" s="8"/>
      <c r="H18" s="10">
        <f>H13+H17</f>
        <v>257.99692425990003</v>
      </c>
      <c r="I18" s="12"/>
      <c r="J18" s="11">
        <f>J13+J17</f>
        <v>303.52579324694125</v>
      </c>
    </row>
    <row r="19" spans="1:10" s="21" customFormat="1" ht="19.5" thickBot="1" x14ac:dyDescent="0.3">
      <c r="A19" s="147" t="s">
        <v>40</v>
      </c>
      <c r="B19" s="147"/>
      <c r="C19" s="147"/>
      <c r="D19" s="147"/>
      <c r="E19" s="147"/>
      <c r="F19" s="147"/>
      <c r="G19" s="147"/>
      <c r="H19" s="147"/>
      <c r="I19" s="147"/>
      <c r="J19" s="147"/>
    </row>
    <row r="20" spans="1:10" s="21" customFormat="1" ht="38.25" thickBot="1" x14ac:dyDescent="0.3">
      <c r="A20" s="1" t="s">
        <v>9</v>
      </c>
      <c r="B20" s="1" t="s">
        <v>0</v>
      </c>
      <c r="C20" s="2" t="s">
        <v>28</v>
      </c>
      <c r="D20" s="2" t="s">
        <v>34</v>
      </c>
      <c r="E20" s="2" t="s">
        <v>33</v>
      </c>
      <c r="F20" s="2" t="s">
        <v>29</v>
      </c>
      <c r="G20" s="3" t="s">
        <v>30</v>
      </c>
      <c r="H20" s="3" t="s">
        <v>3</v>
      </c>
      <c r="I20" s="2" t="s">
        <v>19</v>
      </c>
      <c r="J20" s="2" t="s">
        <v>4</v>
      </c>
    </row>
    <row r="21" spans="1:10" s="21" customFormat="1" ht="16.5" x14ac:dyDescent="0.3">
      <c r="A21" s="13">
        <v>1</v>
      </c>
      <c r="B21" s="78" t="str">
        <f ca="1">'Location 1'!R1</f>
        <v>Location 1</v>
      </c>
      <c r="C21" s="13">
        <v>1</v>
      </c>
      <c r="D21" s="13">
        <v>1</v>
      </c>
      <c r="E21" s="13">
        <v>1</v>
      </c>
      <c r="F21" s="13">
        <f>C21*D21*E21</f>
        <v>1</v>
      </c>
      <c r="G21" s="15">
        <f>'Location 1'!P53</f>
        <v>2657.5163398692807</v>
      </c>
      <c r="H21" s="15">
        <f>(F21*G21)</f>
        <v>2657.5163398692807</v>
      </c>
      <c r="I21" s="13">
        <v>1</v>
      </c>
      <c r="J21" s="16">
        <f>H21/I21</f>
        <v>2657.5163398692807</v>
      </c>
    </row>
    <row r="22" spans="1:10" s="21" customFormat="1" ht="16.5" x14ac:dyDescent="0.3">
      <c r="A22" s="5">
        <v>2</v>
      </c>
      <c r="B22" s="79" t="str">
        <f ca="1">'Location 2'!R1</f>
        <v>Location 2</v>
      </c>
      <c r="C22" s="13">
        <v>1</v>
      </c>
      <c r="D22" s="13">
        <v>1</v>
      </c>
      <c r="E22" s="13">
        <v>1</v>
      </c>
      <c r="F22" s="13">
        <f t="shared" ref="F22:F26" si="5">C22*D22*E22</f>
        <v>1</v>
      </c>
      <c r="G22" s="15">
        <f>'Location 2'!P55</f>
        <v>0</v>
      </c>
      <c r="H22" s="15">
        <f>(F22*G22)</f>
        <v>0</v>
      </c>
      <c r="I22" s="13">
        <v>1</v>
      </c>
      <c r="J22" s="6">
        <f t="shared" ref="J22:J26" si="6">H22/I22</f>
        <v>0</v>
      </c>
    </row>
    <row r="23" spans="1:10" s="21" customFormat="1" ht="15.75" customHeight="1" x14ac:dyDescent="0.3">
      <c r="A23" s="5">
        <v>3</v>
      </c>
      <c r="B23" s="79" t="str">
        <f ca="1">'Location 3'!R1</f>
        <v>Location 3</v>
      </c>
      <c r="C23" s="13">
        <v>1</v>
      </c>
      <c r="D23" s="13">
        <v>1</v>
      </c>
      <c r="E23" s="13">
        <v>1</v>
      </c>
      <c r="F23" s="13">
        <f t="shared" si="5"/>
        <v>1</v>
      </c>
      <c r="G23" s="17">
        <f>'Location 3'!P73</f>
        <v>0</v>
      </c>
      <c r="H23" s="15">
        <f t="shared" ref="H23:H26" si="7">(F23*G23)</f>
        <v>0</v>
      </c>
      <c r="I23" s="13">
        <v>1</v>
      </c>
      <c r="J23" s="6">
        <f t="shared" si="6"/>
        <v>0</v>
      </c>
    </row>
    <row r="24" spans="1:10" ht="16.5" x14ac:dyDescent="0.3">
      <c r="A24" s="5">
        <v>4</v>
      </c>
      <c r="B24" s="79" t="str">
        <f ca="1">'Location 4'!R1</f>
        <v>Location 4</v>
      </c>
      <c r="C24" s="5">
        <v>1</v>
      </c>
      <c r="D24" s="5">
        <v>1</v>
      </c>
      <c r="E24" s="5">
        <v>1</v>
      </c>
      <c r="F24" s="13">
        <f t="shared" si="5"/>
        <v>1</v>
      </c>
      <c r="G24" s="17">
        <f>'Location 4'!P73</f>
        <v>0</v>
      </c>
      <c r="H24" s="15">
        <f t="shared" si="7"/>
        <v>0</v>
      </c>
      <c r="I24" s="13">
        <v>1</v>
      </c>
      <c r="J24" s="6">
        <f t="shared" si="6"/>
        <v>0</v>
      </c>
    </row>
    <row r="25" spans="1:10" ht="16.5" x14ac:dyDescent="0.3">
      <c r="A25" s="5">
        <v>5</v>
      </c>
      <c r="B25" s="79" t="str">
        <f ca="1">'Location 5'!R1</f>
        <v>Location 5</v>
      </c>
      <c r="C25" s="5">
        <v>1</v>
      </c>
      <c r="D25" s="5">
        <v>1</v>
      </c>
      <c r="E25" s="5">
        <v>1</v>
      </c>
      <c r="F25" s="13">
        <f t="shared" si="5"/>
        <v>1</v>
      </c>
      <c r="G25" s="17">
        <f>'Location 5'!P73</f>
        <v>0</v>
      </c>
      <c r="H25" s="15">
        <f t="shared" si="7"/>
        <v>0</v>
      </c>
      <c r="I25" s="13">
        <v>1</v>
      </c>
      <c r="J25" s="6">
        <f t="shared" si="6"/>
        <v>0</v>
      </c>
    </row>
    <row r="26" spans="1:10" s="22" customFormat="1" ht="16.5" x14ac:dyDescent="0.3">
      <c r="A26" s="5">
        <v>6</v>
      </c>
      <c r="B26" s="78" t="str">
        <f ca="1">'Location 6'!R1</f>
        <v>Location 6</v>
      </c>
      <c r="C26" s="5">
        <v>1</v>
      </c>
      <c r="D26" s="5">
        <v>1</v>
      </c>
      <c r="E26" s="5">
        <v>1</v>
      </c>
      <c r="F26" s="13">
        <f t="shared" si="5"/>
        <v>1</v>
      </c>
      <c r="G26" s="17">
        <f>'Location 6'!P73</f>
        <v>0</v>
      </c>
      <c r="H26" s="15">
        <f t="shared" si="7"/>
        <v>0</v>
      </c>
      <c r="I26" s="13">
        <v>1</v>
      </c>
      <c r="J26" s="6">
        <f t="shared" si="6"/>
        <v>0</v>
      </c>
    </row>
    <row r="27" spans="1:10" s="22" customFormat="1" ht="16.5" thickBot="1" x14ac:dyDescent="0.3">
      <c r="A27" s="157" t="s">
        <v>24</v>
      </c>
      <c r="B27" s="158"/>
      <c r="C27" s="158"/>
      <c r="D27" s="158"/>
      <c r="E27" s="158"/>
      <c r="F27" s="158"/>
      <c r="G27" s="161"/>
      <c r="H27" s="10">
        <f>SUM(H21:H26)</f>
        <v>2657.5163398692807</v>
      </c>
      <c r="I27" s="9"/>
      <c r="J27" s="11">
        <f>SUM(J21:J26)</f>
        <v>2657.5163398692807</v>
      </c>
    </row>
    <row r="28" spans="1:10" ht="19.5" thickBot="1" x14ac:dyDescent="0.3">
      <c r="A28" s="130" t="s">
        <v>41</v>
      </c>
      <c r="B28" s="131"/>
      <c r="C28" s="131"/>
      <c r="D28" s="131"/>
      <c r="E28" s="131"/>
      <c r="F28" s="131"/>
      <c r="G28" s="131"/>
      <c r="H28" s="131"/>
      <c r="I28" s="131"/>
      <c r="J28" s="190"/>
    </row>
    <row r="29" spans="1:10" s="21" customFormat="1" ht="38.25" thickBot="1" x14ac:dyDescent="0.3">
      <c r="A29" s="1" t="s">
        <v>9</v>
      </c>
      <c r="B29" s="1" t="s">
        <v>31</v>
      </c>
      <c r="C29" s="2" t="s">
        <v>28</v>
      </c>
      <c r="D29" s="2" t="s">
        <v>32</v>
      </c>
      <c r="E29" s="2" t="s">
        <v>33</v>
      </c>
      <c r="F29" s="2" t="s">
        <v>29</v>
      </c>
      <c r="G29" s="3" t="s">
        <v>30</v>
      </c>
      <c r="H29" s="3" t="s">
        <v>3</v>
      </c>
      <c r="I29" s="2" t="s">
        <v>19</v>
      </c>
      <c r="J29" s="2" t="s">
        <v>4</v>
      </c>
    </row>
    <row r="30" spans="1:10" ht="16.5" x14ac:dyDescent="0.3">
      <c r="A30" s="5">
        <v>1</v>
      </c>
      <c r="B30" s="78" t="str">
        <f ca="1">'Option 1'!R1</f>
        <v>Option 1</v>
      </c>
      <c r="C30" s="13">
        <v>1</v>
      </c>
      <c r="D30" s="5">
        <v>1</v>
      </c>
      <c r="E30" s="5">
        <v>1</v>
      </c>
      <c r="F30" s="13">
        <f t="shared" ref="F30:F31" si="8">C30*D30*E30</f>
        <v>1</v>
      </c>
      <c r="G30" s="17">
        <f>'Option 1'!P73</f>
        <v>0</v>
      </c>
      <c r="H30" s="15">
        <f>C30*D30*E30*F30*G30</f>
        <v>0</v>
      </c>
      <c r="I30" s="13">
        <v>1</v>
      </c>
      <c r="J30" s="17">
        <f>H30/I30</f>
        <v>0</v>
      </c>
    </row>
    <row r="31" spans="1:10" x14ac:dyDescent="0.25">
      <c r="A31" s="5"/>
      <c r="B31" s="4"/>
      <c r="C31" s="5"/>
      <c r="D31" s="5"/>
      <c r="E31" s="5"/>
      <c r="F31" s="13">
        <f t="shared" si="8"/>
        <v>0</v>
      </c>
      <c r="G31" s="6"/>
      <c r="H31" s="15">
        <f t="shared" ref="H31" si="9">C31*D31*E31*F31*G31</f>
        <v>0</v>
      </c>
      <c r="I31" s="13">
        <v>1</v>
      </c>
      <c r="J31" s="17">
        <f>H31/I31</f>
        <v>0</v>
      </c>
    </row>
    <row r="32" spans="1:10" x14ac:dyDescent="0.25">
      <c r="A32" s="109" t="s">
        <v>16</v>
      </c>
      <c r="B32" s="110"/>
      <c r="C32" s="110"/>
      <c r="D32" s="110"/>
      <c r="E32" s="110"/>
      <c r="F32" s="110"/>
      <c r="G32" s="110"/>
      <c r="H32" s="19">
        <f>SUM(H30:H31)</f>
        <v>0</v>
      </c>
      <c r="I32" s="20"/>
      <c r="J32" s="19">
        <f>SUM(J30:J31)</f>
        <v>0</v>
      </c>
    </row>
    <row r="33" spans="1:10" x14ac:dyDescent="0.25">
      <c r="A33" s="111"/>
      <c r="B33" s="112"/>
      <c r="C33" s="112"/>
      <c r="D33" s="112"/>
      <c r="E33" s="112"/>
      <c r="F33" s="112"/>
      <c r="G33" s="112"/>
      <c r="H33" s="112"/>
      <c r="I33" s="112"/>
      <c r="J33" s="191"/>
    </row>
    <row r="34" spans="1:10" x14ac:dyDescent="0.25">
      <c r="A34" s="114"/>
      <c r="B34" s="115"/>
      <c r="C34" s="115"/>
      <c r="D34" s="115"/>
      <c r="E34" s="115"/>
      <c r="F34" s="115"/>
      <c r="G34" s="115"/>
      <c r="H34" s="115"/>
      <c r="I34" s="115"/>
      <c r="J34" s="116"/>
    </row>
    <row r="35" spans="1:10" x14ac:dyDescent="0.25">
      <c r="A35" s="103" t="s">
        <v>14</v>
      </c>
      <c r="B35" s="103"/>
      <c r="C35" s="103"/>
      <c r="D35" s="103"/>
      <c r="E35" s="103"/>
      <c r="F35" s="103"/>
      <c r="G35" s="103"/>
      <c r="H35" s="103"/>
      <c r="I35" s="103"/>
      <c r="J35" s="28">
        <f>J18+J27</f>
        <v>2961.042133116222</v>
      </c>
    </row>
    <row r="36" spans="1:10" x14ac:dyDescent="0.25">
      <c r="A36" s="103"/>
      <c r="B36" s="103"/>
      <c r="C36" s="103"/>
      <c r="D36" s="103"/>
      <c r="E36" s="103"/>
      <c r="F36" s="103"/>
      <c r="G36" s="103"/>
      <c r="H36" s="103"/>
      <c r="I36" s="103"/>
      <c r="J36" s="103"/>
    </row>
    <row r="37" spans="1:10" x14ac:dyDescent="0.25">
      <c r="A37" s="103" t="s">
        <v>15</v>
      </c>
      <c r="B37" s="103"/>
      <c r="C37" s="103"/>
      <c r="D37" s="103"/>
      <c r="E37" s="103"/>
      <c r="F37" s="103"/>
      <c r="G37" s="103"/>
      <c r="H37" s="103"/>
      <c r="I37" s="103"/>
      <c r="J37" s="28">
        <v>0</v>
      </c>
    </row>
    <row r="38" spans="1:10" x14ac:dyDescent="0.25">
      <c r="A38" s="189"/>
      <c r="B38" s="189"/>
      <c r="C38" s="189"/>
      <c r="D38" s="189"/>
      <c r="E38" s="189"/>
      <c r="F38" s="189"/>
      <c r="G38" s="189"/>
      <c r="H38" s="189"/>
      <c r="I38" s="189"/>
      <c r="J38" s="189"/>
    </row>
    <row r="39" spans="1:10" x14ac:dyDescent="0.25">
      <c r="A39" s="104" t="s">
        <v>20</v>
      </c>
      <c r="B39" s="104"/>
      <c r="C39" s="104"/>
      <c r="D39" s="104"/>
      <c r="E39" s="104"/>
      <c r="F39" s="104"/>
      <c r="G39" s="104"/>
      <c r="H39" s="104"/>
      <c r="I39" s="104"/>
      <c r="J39" s="32">
        <v>0</v>
      </c>
    </row>
    <row r="40" spans="1:10" x14ac:dyDescent="0.25">
      <c r="A40" s="189"/>
      <c r="B40" s="189"/>
      <c r="C40" s="189"/>
      <c r="D40" s="189"/>
      <c r="E40" s="189"/>
      <c r="F40" s="189"/>
      <c r="G40" s="189"/>
      <c r="H40" s="189"/>
      <c r="I40" s="189"/>
      <c r="J40" s="189"/>
    </row>
    <row r="41" spans="1:10" x14ac:dyDescent="0.25">
      <c r="A41" s="103" t="s">
        <v>49</v>
      </c>
      <c r="B41" s="103"/>
      <c r="C41" s="103"/>
      <c r="D41" s="103"/>
      <c r="E41" s="103"/>
      <c r="F41" s="103"/>
      <c r="G41" s="103"/>
      <c r="H41" s="103"/>
      <c r="I41" s="103"/>
      <c r="J41" s="28">
        <v>0</v>
      </c>
    </row>
    <row r="42" spans="1:10" x14ac:dyDescent="0.25">
      <c r="A42" s="189"/>
      <c r="B42" s="189"/>
      <c r="C42" s="189"/>
      <c r="D42" s="189"/>
      <c r="E42" s="189"/>
      <c r="F42" s="189"/>
      <c r="G42" s="189"/>
      <c r="H42" s="189"/>
      <c r="I42" s="189"/>
      <c r="J42" s="189"/>
    </row>
    <row r="43" spans="1:10" x14ac:dyDescent="0.25">
      <c r="A43" s="103" t="s">
        <v>42</v>
      </c>
      <c r="B43" s="103"/>
      <c r="C43" s="103"/>
      <c r="D43" s="103"/>
      <c r="E43" s="103"/>
      <c r="F43" s="103"/>
      <c r="G43" s="103"/>
      <c r="H43" s="103"/>
      <c r="I43" s="103"/>
      <c r="J43" s="28">
        <f>(J32)</f>
        <v>0</v>
      </c>
    </row>
    <row r="44" spans="1:10" x14ac:dyDescent="0.25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 spans="1:10" x14ac:dyDescent="0.25">
      <c r="A45" s="103" t="s">
        <v>10</v>
      </c>
      <c r="B45" s="103"/>
      <c r="C45" s="103"/>
      <c r="D45" s="103"/>
      <c r="E45" s="103"/>
      <c r="F45" s="103"/>
      <c r="G45" s="103"/>
      <c r="H45" s="103"/>
      <c r="I45" s="103"/>
      <c r="J45" s="28">
        <f>J35+J37+J39+J41+J43</f>
        <v>2961.042133116222</v>
      </c>
    </row>
    <row r="46" spans="1:10" x14ac:dyDescent="0.25">
      <c r="A46" s="103" t="s">
        <v>21</v>
      </c>
      <c r="B46" s="103"/>
      <c r="C46" s="103"/>
      <c r="D46" s="103"/>
      <c r="E46" s="103"/>
      <c r="F46" s="103"/>
      <c r="G46" s="103"/>
      <c r="H46" s="103"/>
      <c r="I46" s="103"/>
      <c r="J46" s="28">
        <f>J45*0.13</f>
        <v>384.93547730510886</v>
      </c>
    </row>
    <row r="47" spans="1:10" x14ac:dyDescent="0.25">
      <c r="A47" s="103" t="s">
        <v>22</v>
      </c>
      <c r="B47" s="103"/>
      <c r="C47" s="103"/>
      <c r="D47" s="103"/>
      <c r="E47" s="103"/>
      <c r="F47" s="103"/>
      <c r="G47" s="103"/>
      <c r="H47" s="103"/>
      <c r="I47" s="103"/>
      <c r="J47" s="28">
        <f>J45+J46</f>
        <v>3345.9776104213306</v>
      </c>
    </row>
    <row r="48" spans="1:10" x14ac:dyDescent="0.25">
      <c r="A48" s="27" t="s">
        <v>35</v>
      </c>
      <c r="J48" s="29">
        <f>J45*1.13</f>
        <v>3345.9776104213306</v>
      </c>
    </row>
    <row r="52" spans="2:11" x14ac:dyDescent="0.25">
      <c r="G52" s="188" t="s">
        <v>43</v>
      </c>
      <c r="H52" s="188"/>
      <c r="I52" s="188"/>
      <c r="J52" s="30" t="s">
        <v>48</v>
      </c>
    </row>
    <row r="53" spans="2:11" x14ac:dyDescent="0.25">
      <c r="G53" s="188" t="s">
        <v>51</v>
      </c>
      <c r="H53" s="188"/>
      <c r="I53" s="188"/>
      <c r="J53" s="30">
        <f>J45</f>
        <v>2961.042133116222</v>
      </c>
    </row>
    <row r="54" spans="2:11" x14ac:dyDescent="0.25">
      <c r="G54" s="188" t="s">
        <v>44</v>
      </c>
      <c r="H54" s="188"/>
      <c r="I54" s="188"/>
      <c r="J54" s="30"/>
    </row>
    <row r="55" spans="2:11" x14ac:dyDescent="0.25">
      <c r="G55" s="188" t="s">
        <v>45</v>
      </c>
      <c r="H55" s="188"/>
      <c r="I55" s="188"/>
      <c r="J55" s="30"/>
    </row>
    <row r="56" spans="2:11" x14ac:dyDescent="0.25">
      <c r="G56" s="188" t="s">
        <v>46</v>
      </c>
      <c r="H56" s="188"/>
      <c r="I56" s="188"/>
      <c r="J56" s="30"/>
    </row>
    <row r="57" spans="2:11" x14ac:dyDescent="0.25">
      <c r="G57" s="188" t="s">
        <v>47</v>
      </c>
      <c r="H57" s="188"/>
      <c r="I57" s="188"/>
      <c r="J57" s="30"/>
    </row>
    <row r="59" spans="2:11" ht="16.5" thickBot="1" x14ac:dyDescent="0.3"/>
    <row r="60" spans="2:11" ht="32.25" thickBot="1" x14ac:dyDescent="0.3">
      <c r="B60" s="27" t="s">
        <v>91</v>
      </c>
      <c r="C60" s="81" t="s">
        <v>92</v>
      </c>
      <c r="D60" s="93" t="s">
        <v>93</v>
      </c>
      <c r="E60" s="93"/>
      <c r="F60" s="82" t="s">
        <v>94</v>
      </c>
      <c r="G60" s="82" t="s">
        <v>95</v>
      </c>
      <c r="H60" s="83" t="s">
        <v>96</v>
      </c>
      <c r="I60" s="83" t="s">
        <v>97</v>
      </c>
    </row>
    <row r="61" spans="2:11" x14ac:dyDescent="0.25">
      <c r="B61" s="77" t="s">
        <v>98</v>
      </c>
      <c r="C61" s="84">
        <v>98.21</v>
      </c>
      <c r="D61" s="108">
        <f>(C61+17)</f>
        <v>115.21</v>
      </c>
      <c r="E61" s="108"/>
      <c r="F61" s="85">
        <v>196.41</v>
      </c>
      <c r="G61" s="85">
        <f>(F61+17)</f>
        <v>213.41</v>
      </c>
      <c r="H61" s="86">
        <v>112.94</v>
      </c>
      <c r="I61" s="87">
        <f>H61+17</f>
        <v>129.94</v>
      </c>
      <c r="J61" s="63"/>
      <c r="K61" s="63"/>
    </row>
    <row r="62" spans="2:11" x14ac:dyDescent="0.25">
      <c r="B62" s="77" t="s">
        <v>99</v>
      </c>
      <c r="C62" s="88">
        <v>87.65</v>
      </c>
      <c r="D62" s="97">
        <f>(C62+17)</f>
        <v>104.65</v>
      </c>
      <c r="E62" s="97"/>
      <c r="F62" s="89">
        <v>175.31</v>
      </c>
      <c r="G62" s="89">
        <f>(F62+17)</f>
        <v>192.31</v>
      </c>
      <c r="H62" s="90">
        <v>100.8</v>
      </c>
      <c r="I62" s="91">
        <f>H62+17</f>
        <v>117.8</v>
      </c>
      <c r="J62" s="63"/>
      <c r="K62" s="63"/>
    </row>
    <row r="63" spans="2:11" x14ac:dyDescent="0.25">
      <c r="B63" s="77" t="s">
        <v>100</v>
      </c>
      <c r="C63" s="88">
        <v>71.38</v>
      </c>
      <c r="D63" s="97">
        <f t="shared" ref="D63:D67" si="10">(C63+17)</f>
        <v>88.38</v>
      </c>
      <c r="E63" s="97"/>
      <c r="F63" s="89">
        <v>142.72999999999999</v>
      </c>
      <c r="G63" s="89">
        <f t="shared" ref="G63:G67" si="11">(F63+17)</f>
        <v>159.72999999999999</v>
      </c>
      <c r="H63" s="90">
        <v>82.09</v>
      </c>
      <c r="I63" s="91">
        <f t="shared" ref="I63:I67" si="12">H63+17</f>
        <v>99.09</v>
      </c>
      <c r="J63" s="63"/>
      <c r="K63" s="63"/>
    </row>
    <row r="64" spans="2:11" x14ac:dyDescent="0.25">
      <c r="B64" s="77" t="s">
        <v>101</v>
      </c>
      <c r="C64" s="88">
        <v>63.34</v>
      </c>
      <c r="D64" s="97">
        <f t="shared" si="10"/>
        <v>80.34</v>
      </c>
      <c r="E64" s="97"/>
      <c r="F64" s="89">
        <v>126.7</v>
      </c>
      <c r="G64" s="89">
        <f t="shared" si="11"/>
        <v>143.69999999999999</v>
      </c>
      <c r="H64" s="90">
        <v>72.84</v>
      </c>
      <c r="I64" s="91">
        <f t="shared" si="12"/>
        <v>89.84</v>
      </c>
      <c r="J64" s="63"/>
      <c r="K64" s="63"/>
    </row>
    <row r="65" spans="2:11" x14ac:dyDescent="0.25">
      <c r="B65" s="77" t="s">
        <v>102</v>
      </c>
      <c r="C65" s="88">
        <v>55.33</v>
      </c>
      <c r="D65" s="97">
        <f t="shared" si="10"/>
        <v>72.33</v>
      </c>
      <c r="E65" s="97"/>
      <c r="F65" s="89">
        <v>110.64</v>
      </c>
      <c r="G65" s="89">
        <f t="shared" si="11"/>
        <v>127.64</v>
      </c>
      <c r="H65" s="90">
        <v>63.63</v>
      </c>
      <c r="I65" s="91">
        <f t="shared" si="12"/>
        <v>80.63</v>
      </c>
      <c r="J65" s="63"/>
      <c r="K65" s="63"/>
    </row>
    <row r="66" spans="2:11" x14ac:dyDescent="0.25">
      <c r="B66" s="77" t="s">
        <v>103</v>
      </c>
      <c r="C66" s="88">
        <v>47.3</v>
      </c>
      <c r="D66" s="97">
        <f t="shared" si="10"/>
        <v>64.3</v>
      </c>
      <c r="E66" s="97"/>
      <c r="F66" s="89">
        <v>94.59</v>
      </c>
      <c r="G66" s="89">
        <f t="shared" si="11"/>
        <v>111.59</v>
      </c>
      <c r="H66" s="90">
        <v>54.4</v>
      </c>
      <c r="I66" s="91">
        <f t="shared" si="12"/>
        <v>71.400000000000006</v>
      </c>
      <c r="J66" s="63"/>
      <c r="K66" s="63"/>
    </row>
    <row r="67" spans="2:11" x14ac:dyDescent="0.25">
      <c r="B67" s="77" t="s">
        <v>104</v>
      </c>
      <c r="C67" s="88">
        <v>39.25</v>
      </c>
      <c r="D67" s="97">
        <f t="shared" si="10"/>
        <v>56.25</v>
      </c>
      <c r="E67" s="97"/>
      <c r="F67" s="89">
        <v>78.489999999999995</v>
      </c>
      <c r="G67" s="89">
        <f t="shared" si="11"/>
        <v>95.49</v>
      </c>
      <c r="H67" s="90">
        <v>45.14</v>
      </c>
      <c r="I67" s="91">
        <f t="shared" si="12"/>
        <v>62.14</v>
      </c>
      <c r="J67" s="63"/>
      <c r="K67" s="63"/>
    </row>
    <row r="68" spans="2:11" ht="16.5" thickBot="1" x14ac:dyDescent="0.3">
      <c r="D68" s="101"/>
      <c r="E68" s="102"/>
    </row>
    <row r="69" spans="2:11" ht="32.25" thickBot="1" x14ac:dyDescent="0.3">
      <c r="B69" s="27" t="s">
        <v>105</v>
      </c>
      <c r="C69" s="81" t="s">
        <v>92</v>
      </c>
      <c r="D69" s="93" t="s">
        <v>93</v>
      </c>
      <c r="E69" s="93"/>
      <c r="F69" s="82" t="s">
        <v>94</v>
      </c>
      <c r="G69" s="82" t="s">
        <v>95</v>
      </c>
      <c r="H69" s="83" t="s">
        <v>96</v>
      </c>
      <c r="I69" s="83" t="s">
        <v>97</v>
      </c>
      <c r="K69" s="33" t="s">
        <v>19</v>
      </c>
    </row>
    <row r="70" spans="2:11" x14ac:dyDescent="0.25">
      <c r="B70" s="77" t="s">
        <v>98</v>
      </c>
      <c r="C70" s="92">
        <f>C61/$K$70</f>
        <v>122.76249999999999</v>
      </c>
      <c r="D70" s="94">
        <f>D61/$K$70</f>
        <v>144.01249999999999</v>
      </c>
      <c r="E70" s="95"/>
      <c r="F70" s="92">
        <f>F61/$K$70</f>
        <v>245.51249999999999</v>
      </c>
      <c r="G70" s="92">
        <f>G61/$K$70</f>
        <v>266.76249999999999</v>
      </c>
      <c r="H70" s="92">
        <f>H61/$K$70</f>
        <v>141.17499999999998</v>
      </c>
      <c r="I70" s="92">
        <f>I61/$K$70</f>
        <v>162.42499999999998</v>
      </c>
      <c r="K70" s="5">
        <v>0.8</v>
      </c>
    </row>
    <row r="71" spans="2:11" x14ac:dyDescent="0.25">
      <c r="B71" s="77" t="s">
        <v>99</v>
      </c>
      <c r="C71" s="92">
        <f t="shared" ref="C71:D76" si="13">C62/$K$70</f>
        <v>109.5625</v>
      </c>
      <c r="D71" s="97">
        <f t="shared" si="13"/>
        <v>130.8125</v>
      </c>
      <c r="E71" s="97"/>
      <c r="F71" s="92">
        <f t="shared" ref="F71:I76" si="14">F62/$K$70</f>
        <v>219.13749999999999</v>
      </c>
      <c r="G71" s="92">
        <f t="shared" si="14"/>
        <v>240.38749999999999</v>
      </c>
      <c r="H71" s="92">
        <f t="shared" si="14"/>
        <v>125.99999999999999</v>
      </c>
      <c r="I71" s="92">
        <f t="shared" si="14"/>
        <v>147.25</v>
      </c>
    </row>
    <row r="72" spans="2:11" x14ac:dyDescent="0.25">
      <c r="B72" s="77" t="s">
        <v>100</v>
      </c>
      <c r="C72" s="92">
        <f t="shared" si="13"/>
        <v>89.224999999999994</v>
      </c>
      <c r="D72" s="97">
        <f t="shared" si="13"/>
        <v>110.47499999999999</v>
      </c>
      <c r="E72" s="97"/>
      <c r="F72" s="92">
        <f t="shared" si="14"/>
        <v>178.41249999999997</v>
      </c>
      <c r="G72" s="92">
        <f t="shared" si="14"/>
        <v>199.66249999999997</v>
      </c>
      <c r="H72" s="92">
        <f t="shared" si="14"/>
        <v>102.6125</v>
      </c>
      <c r="I72" s="92">
        <f t="shared" si="14"/>
        <v>123.8625</v>
      </c>
    </row>
    <row r="73" spans="2:11" x14ac:dyDescent="0.25">
      <c r="B73" s="77" t="s">
        <v>101</v>
      </c>
      <c r="C73" s="92">
        <f t="shared" si="13"/>
        <v>79.174999999999997</v>
      </c>
      <c r="D73" s="97">
        <f t="shared" si="13"/>
        <v>100.425</v>
      </c>
      <c r="E73" s="97"/>
      <c r="F73" s="92">
        <f t="shared" si="14"/>
        <v>158.375</v>
      </c>
      <c r="G73" s="92">
        <f t="shared" si="14"/>
        <v>179.62499999999997</v>
      </c>
      <c r="H73" s="92">
        <f t="shared" si="14"/>
        <v>91.05</v>
      </c>
      <c r="I73" s="92">
        <f t="shared" si="14"/>
        <v>112.3</v>
      </c>
    </row>
    <row r="74" spans="2:11" x14ac:dyDescent="0.25">
      <c r="B74" s="77" t="s">
        <v>102</v>
      </c>
      <c r="C74" s="92">
        <f t="shared" si="13"/>
        <v>69.162499999999994</v>
      </c>
      <c r="D74" s="97">
        <f t="shared" si="13"/>
        <v>90.412499999999994</v>
      </c>
      <c r="E74" s="97"/>
      <c r="F74" s="92">
        <f t="shared" si="14"/>
        <v>138.29999999999998</v>
      </c>
      <c r="G74" s="92">
        <f t="shared" si="14"/>
        <v>159.54999999999998</v>
      </c>
      <c r="H74" s="92">
        <f t="shared" si="14"/>
        <v>79.537499999999994</v>
      </c>
      <c r="I74" s="92">
        <f t="shared" si="14"/>
        <v>100.78749999999999</v>
      </c>
    </row>
    <row r="75" spans="2:11" x14ac:dyDescent="0.25">
      <c r="B75" s="77" t="s">
        <v>103</v>
      </c>
      <c r="C75" s="92">
        <f t="shared" si="13"/>
        <v>59.124999999999993</v>
      </c>
      <c r="D75" s="97">
        <f t="shared" si="13"/>
        <v>80.374999999999986</v>
      </c>
      <c r="E75" s="97"/>
      <c r="F75" s="92">
        <f t="shared" si="14"/>
        <v>118.2375</v>
      </c>
      <c r="G75" s="92">
        <f t="shared" si="14"/>
        <v>139.48749999999998</v>
      </c>
      <c r="H75" s="92">
        <f t="shared" si="14"/>
        <v>68</v>
      </c>
      <c r="I75" s="92">
        <f t="shared" si="14"/>
        <v>89.25</v>
      </c>
    </row>
    <row r="76" spans="2:11" x14ac:dyDescent="0.25">
      <c r="B76" s="77" t="s">
        <v>104</v>
      </c>
      <c r="C76" s="92">
        <f t="shared" si="13"/>
        <v>49.0625</v>
      </c>
      <c r="D76" s="97">
        <f t="shared" si="13"/>
        <v>70.3125</v>
      </c>
      <c r="E76" s="97"/>
      <c r="F76" s="92">
        <f t="shared" si="14"/>
        <v>98.112499999999983</v>
      </c>
      <c r="G76" s="92">
        <f t="shared" si="14"/>
        <v>119.36249999999998</v>
      </c>
      <c r="H76" s="92">
        <f t="shared" si="14"/>
        <v>56.424999999999997</v>
      </c>
      <c r="I76" s="92">
        <f t="shared" si="14"/>
        <v>77.674999999999997</v>
      </c>
    </row>
    <row r="77" spans="2:11" x14ac:dyDescent="0.25">
      <c r="D77" s="96"/>
      <c r="E77" s="96"/>
    </row>
    <row r="78" spans="2:11" x14ac:dyDescent="0.25">
      <c r="D78" s="96"/>
      <c r="E78" s="96"/>
    </row>
    <row r="79" spans="2:11" x14ac:dyDescent="0.25">
      <c r="B79" s="27" t="s">
        <v>106</v>
      </c>
      <c r="C79" s="27" t="s">
        <v>107</v>
      </c>
    </row>
    <row r="80" spans="2:11" x14ac:dyDescent="0.25">
      <c r="B80" s="27" t="s">
        <v>108</v>
      </c>
      <c r="C80" s="27">
        <v>8.6999999999999993</v>
      </c>
      <c r="G80" s="96">
        <v>2500000</v>
      </c>
      <c r="H80" s="96"/>
      <c r="I80" s="63">
        <f>G80/1000*C80</f>
        <v>21750</v>
      </c>
    </row>
    <row r="81" spans="2:9" x14ac:dyDescent="0.25">
      <c r="B81" s="27" t="s">
        <v>109</v>
      </c>
      <c r="C81" s="27">
        <v>7.9</v>
      </c>
      <c r="G81" s="96">
        <v>2500000</v>
      </c>
      <c r="H81" s="96"/>
      <c r="I81" s="63">
        <f>G81/1000*C81</f>
        <v>19750</v>
      </c>
    </row>
    <row r="82" spans="2:9" x14ac:dyDescent="0.25">
      <c r="B82" s="27" t="s">
        <v>110</v>
      </c>
      <c r="C82" s="27">
        <v>6.95</v>
      </c>
      <c r="G82" s="96">
        <v>2500000</v>
      </c>
      <c r="H82" s="96"/>
      <c r="I82" s="63">
        <f>G82/1000*C82</f>
        <v>17375</v>
      </c>
    </row>
    <row r="83" spans="2:9" x14ac:dyDescent="0.25">
      <c r="B83" s="27" t="s">
        <v>111</v>
      </c>
      <c r="I83" s="63">
        <f>I80+I81+I82</f>
        <v>58875</v>
      </c>
    </row>
    <row r="84" spans="2:9" x14ac:dyDescent="0.25">
      <c r="B84" s="27" t="s">
        <v>112</v>
      </c>
      <c r="C84" s="27">
        <v>12</v>
      </c>
      <c r="I84" s="63">
        <f>I83*C84*0.01</f>
        <v>7065</v>
      </c>
    </row>
    <row r="85" spans="2:9" x14ac:dyDescent="0.25">
      <c r="B85" s="27" t="s">
        <v>113</v>
      </c>
      <c r="I85" s="63">
        <f>I83+I84</f>
        <v>65940</v>
      </c>
    </row>
    <row r="86" spans="2:9" x14ac:dyDescent="0.25">
      <c r="B86" s="27" t="s">
        <v>114</v>
      </c>
      <c r="I86" s="63">
        <f>I85/0.9</f>
        <v>73266.666666666672</v>
      </c>
    </row>
  </sheetData>
  <mergeCells count="54">
    <mergeCell ref="G81:H81"/>
    <mergeCell ref="G82:H82"/>
    <mergeCell ref="A18:B18"/>
    <mergeCell ref="D75:E75"/>
    <mergeCell ref="D76:E76"/>
    <mergeCell ref="D77:E77"/>
    <mergeCell ref="D78:E78"/>
    <mergeCell ref="G80:H80"/>
    <mergeCell ref="D70:E70"/>
    <mergeCell ref="D71:E71"/>
    <mergeCell ref="D72:E72"/>
    <mergeCell ref="D73:E73"/>
    <mergeCell ref="D74:E74"/>
    <mergeCell ref="D65:E65"/>
    <mergeCell ref="D66:E66"/>
    <mergeCell ref="D67:E67"/>
    <mergeCell ref="D68:E68"/>
    <mergeCell ref="D69:E69"/>
    <mergeCell ref="D60:E60"/>
    <mergeCell ref="D61:E61"/>
    <mergeCell ref="D62:E62"/>
    <mergeCell ref="D63:E63"/>
    <mergeCell ref="D64:E64"/>
    <mergeCell ref="A1:J2"/>
    <mergeCell ref="G57:I57"/>
    <mergeCell ref="A3:J3"/>
    <mergeCell ref="A5:J5"/>
    <mergeCell ref="A13:B13"/>
    <mergeCell ref="A14:J14"/>
    <mergeCell ref="A15:J15"/>
    <mergeCell ref="A27:G27"/>
    <mergeCell ref="A28:J28"/>
    <mergeCell ref="A32:G32"/>
    <mergeCell ref="A33:J34"/>
    <mergeCell ref="A17:E17"/>
    <mergeCell ref="A19:J19"/>
    <mergeCell ref="A45:I45"/>
    <mergeCell ref="A46:I46"/>
    <mergeCell ref="A47:I47"/>
    <mergeCell ref="G53:I53"/>
    <mergeCell ref="G54:I54"/>
    <mergeCell ref="G55:I55"/>
    <mergeCell ref="G56:I56"/>
    <mergeCell ref="A35:I35"/>
    <mergeCell ref="A36:J36"/>
    <mergeCell ref="A43:I43"/>
    <mergeCell ref="A44:J44"/>
    <mergeCell ref="G52:I52"/>
    <mergeCell ref="A37:I37"/>
    <mergeCell ref="A38:J38"/>
    <mergeCell ref="A39:I39"/>
    <mergeCell ref="A40:J40"/>
    <mergeCell ref="A41:I41"/>
    <mergeCell ref="A42:J42"/>
  </mergeCells>
  <phoneticPr fontId="9" type="noConversion"/>
  <dataValidations disablePrompts="1" count="1">
    <dataValidation type="list" allowBlank="1" showInputMessage="1" showErrorMessage="1" sqref="I16 I6:I12 K70" xr:uid="{00683698-F694-4D18-B820-78762E53E38E}">
      <formula1>"1,.95,.94,.93,.92,.91,.9,.89,.88,.87,.86,.85,.84,.83,.82,.81,.8,.79,.78,.77,.76,.75,.74,.73,.72,.71,.7,.66"</formula1>
    </dataValidation>
  </dataValidations>
  <printOptions horizontalCentered="1" verticalCentered="1"/>
  <pageMargins left="0.45" right="0.45" top="0.75" bottom="0.75" header="0.3" footer="0.3"/>
  <pageSetup scale="72" fitToHeight="0" orientation="landscape" horizontalDpi="300" verticalDpi="300" r:id="rId1"/>
  <colBreaks count="1" manualBreakCount="1">
    <brk id="10" max="8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C603-257B-4887-A29D-9EA3C926A1E6}">
  <dimension ref="A1:W101"/>
  <sheetViews>
    <sheetView tabSelected="1" zoomScale="80" zoomScaleNormal="80" workbookViewId="0">
      <selection activeCell="E7" sqref="E7"/>
    </sheetView>
  </sheetViews>
  <sheetFormatPr defaultColWidth="9.140625" defaultRowHeight="15.75" x14ac:dyDescent="0.25"/>
  <cols>
    <col min="1" max="1" width="9.140625" style="27"/>
    <col min="2" max="2" width="44.85546875" style="27" customWidth="1"/>
    <col min="3" max="3" width="14.140625" style="27" customWidth="1"/>
    <col min="4" max="4" width="7.28515625" style="27" customWidth="1"/>
    <col min="5" max="5" width="9.42578125" style="27" customWidth="1"/>
    <col min="6" max="6" width="15.7109375" style="27" customWidth="1"/>
    <col min="7" max="7" width="19.140625" style="27" customWidth="1"/>
    <col min="8" max="14" width="15.28515625" style="27" customWidth="1"/>
    <col min="15" max="15" width="14.85546875" style="27" customWidth="1"/>
    <col min="16" max="16" width="22" style="27" customWidth="1"/>
    <col min="17" max="17" width="9.140625" style="27"/>
    <col min="18" max="18" width="12.42578125" style="27" bestFit="1" customWidth="1"/>
    <col min="19" max="19" width="11.42578125" style="27" customWidth="1"/>
    <col min="20" max="20" width="15.5703125" style="27" bestFit="1" customWidth="1"/>
    <col min="21" max="21" width="12.85546875" style="27" customWidth="1"/>
    <col min="22" max="22" width="13.85546875" style="27" customWidth="1"/>
    <col min="23" max="23" width="11.85546875" style="27" customWidth="1"/>
    <col min="24" max="16384" width="9.140625" style="27"/>
  </cols>
  <sheetData>
    <row r="1" spans="1:20" ht="23.25" customHeight="1" x14ac:dyDescent="0.25">
      <c r="A1" s="174" t="str" cm="1">
        <f t="array" aca="1" ref="A1" ca="1">MID(CELL("filename",C1),FIND("]",CELL("filename",C1))+1,255)</f>
        <v>Location 1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6"/>
      <c r="R1" s="27" t="str" cm="1">
        <f t="array" aca="1" ref="R1" ca="1">MID(CELL("filename",C1),FIND("]",CELL("filename",C1))+1,255)</f>
        <v>Location 1</v>
      </c>
    </row>
    <row r="2" spans="1:20" ht="19.5" customHeight="1" thickBot="1" x14ac:dyDescent="0.3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9"/>
    </row>
    <row r="3" spans="1:20" ht="19.5" thickBot="1" x14ac:dyDescent="0.3">
      <c r="A3" s="150" t="s">
        <v>53</v>
      </c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</row>
    <row r="4" spans="1:20" ht="19.5" thickBot="1" x14ac:dyDescent="0.3">
      <c r="A4" s="180" t="s">
        <v>9</v>
      </c>
      <c r="B4" s="180" t="s">
        <v>0</v>
      </c>
      <c r="C4" s="133" t="s">
        <v>54</v>
      </c>
      <c r="D4" s="182"/>
      <c r="E4" s="182"/>
      <c r="F4" s="182"/>
      <c r="G4" s="182"/>
      <c r="H4" s="134"/>
      <c r="I4" s="183" t="s">
        <v>55</v>
      </c>
      <c r="J4" s="184"/>
      <c r="K4" s="184"/>
      <c r="L4" s="184"/>
      <c r="M4" s="184"/>
      <c r="N4" s="185"/>
      <c r="O4" s="180" t="s">
        <v>19</v>
      </c>
      <c r="P4" s="186" t="s">
        <v>56</v>
      </c>
    </row>
    <row r="5" spans="1:20" ht="57" thickBot="1" x14ac:dyDescent="0.3">
      <c r="A5" s="181"/>
      <c r="B5" s="181"/>
      <c r="C5" s="35" t="s">
        <v>1</v>
      </c>
      <c r="D5" s="35" t="s">
        <v>34</v>
      </c>
      <c r="E5" s="35" t="s">
        <v>57</v>
      </c>
      <c r="F5" s="35" t="s">
        <v>58</v>
      </c>
      <c r="G5" s="36" t="s">
        <v>59</v>
      </c>
      <c r="H5" s="36" t="s">
        <v>3</v>
      </c>
      <c r="I5" s="37" t="s">
        <v>1</v>
      </c>
      <c r="J5" s="37" t="s">
        <v>34</v>
      </c>
      <c r="K5" s="37" t="s">
        <v>60</v>
      </c>
      <c r="L5" s="37" t="s">
        <v>61</v>
      </c>
      <c r="M5" s="38" t="s">
        <v>62</v>
      </c>
      <c r="N5" s="37" t="s">
        <v>4</v>
      </c>
      <c r="O5" s="181"/>
      <c r="P5" s="187"/>
    </row>
    <row r="6" spans="1:20" ht="34.5" customHeight="1" thickBot="1" x14ac:dyDescent="0.3">
      <c r="A6" s="149" t="s">
        <v>7</v>
      </c>
      <c r="B6" s="149"/>
      <c r="C6" s="149"/>
      <c r="D6" s="149"/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50"/>
      <c r="P6" s="149"/>
      <c r="T6" s="63">
        <f>(P26+P37+P42)*0.05</f>
        <v>118.16993464052287</v>
      </c>
    </row>
    <row r="7" spans="1:20" ht="16.5" thickTop="1" x14ac:dyDescent="0.25">
      <c r="A7" s="26">
        <v>1</v>
      </c>
      <c r="B7" s="4" t="s">
        <v>8</v>
      </c>
      <c r="C7" s="5">
        <v>0</v>
      </c>
      <c r="D7" s="5">
        <v>0</v>
      </c>
      <c r="E7" s="5"/>
      <c r="F7" s="5">
        <f>C7*D7*E7</f>
        <v>0</v>
      </c>
      <c r="G7" s="57">
        <v>90</v>
      </c>
      <c r="H7" s="58">
        <f t="shared" ref="H7:H13" si="0">F7*G7</f>
        <v>0</v>
      </c>
      <c r="I7" s="41"/>
      <c r="J7" s="42"/>
      <c r="K7" s="42"/>
      <c r="L7" s="42">
        <f>I7*J7*K7</f>
        <v>0</v>
      </c>
      <c r="M7" s="43">
        <v>150</v>
      </c>
      <c r="N7" s="44">
        <f>L7*M7</f>
        <v>0</v>
      </c>
      <c r="O7" s="5">
        <v>0.85</v>
      </c>
      <c r="P7" s="45">
        <f>H7/O7+N7/O7</f>
        <v>0</v>
      </c>
      <c r="R7" s="29"/>
    </row>
    <row r="8" spans="1:20" x14ac:dyDescent="0.25">
      <c r="A8" s="26">
        <v>2</v>
      </c>
      <c r="B8" s="4" t="s">
        <v>7</v>
      </c>
      <c r="C8" s="5">
        <v>0</v>
      </c>
      <c r="D8" s="5">
        <v>1</v>
      </c>
      <c r="E8" s="5">
        <v>1</v>
      </c>
      <c r="F8" s="5">
        <f>C8*D8*E8</f>
        <v>0</v>
      </c>
      <c r="G8" s="57">
        <f>(P26+P37+P42)</f>
        <v>2363.3986928104573</v>
      </c>
      <c r="H8" s="58">
        <f t="shared" si="0"/>
        <v>0</v>
      </c>
      <c r="I8" s="47"/>
      <c r="J8" s="48"/>
      <c r="K8" s="48"/>
      <c r="L8" s="48">
        <f>I8*J8*K8</f>
        <v>0</v>
      </c>
      <c r="M8" s="39">
        <v>150</v>
      </c>
      <c r="N8" s="46">
        <f>L8*M8</f>
        <v>0</v>
      </c>
      <c r="O8" s="5">
        <v>0.85</v>
      </c>
      <c r="P8" s="49">
        <f t="shared" ref="P8:P13" si="1">H8/O8+N8/O8</f>
        <v>0</v>
      </c>
    </row>
    <row r="9" spans="1:20" x14ac:dyDescent="0.25">
      <c r="A9" s="26">
        <v>3</v>
      </c>
      <c r="B9" s="4" t="s">
        <v>26</v>
      </c>
      <c r="C9" s="5">
        <v>1</v>
      </c>
      <c r="D9" s="5">
        <v>1</v>
      </c>
      <c r="E9" s="5">
        <v>1</v>
      </c>
      <c r="F9" s="5">
        <f>C9*D9*E9</f>
        <v>1</v>
      </c>
      <c r="G9" s="57">
        <v>250</v>
      </c>
      <c r="H9" s="58">
        <f t="shared" si="0"/>
        <v>250</v>
      </c>
      <c r="I9" s="47"/>
      <c r="J9" s="48"/>
      <c r="K9" s="48"/>
      <c r="L9" s="48">
        <f>I9*J9*K9</f>
        <v>0</v>
      </c>
      <c r="M9" s="39">
        <v>0</v>
      </c>
      <c r="N9" s="46">
        <f t="shared" ref="N9:N13" si="2">L9*M9</f>
        <v>0</v>
      </c>
      <c r="O9" s="5">
        <v>0.85</v>
      </c>
      <c r="P9" s="50">
        <f t="shared" si="1"/>
        <v>294.11764705882354</v>
      </c>
    </row>
    <row r="10" spans="1:20" x14ac:dyDescent="0.25">
      <c r="A10" s="26">
        <v>4</v>
      </c>
      <c r="B10" s="4" t="s">
        <v>38</v>
      </c>
      <c r="C10" s="5">
        <v>0</v>
      </c>
      <c r="D10" s="5">
        <v>1</v>
      </c>
      <c r="E10" s="5">
        <v>1</v>
      </c>
      <c r="F10" s="5">
        <f t="shared" ref="F10:F11" si="3">C10*D10*E10</f>
        <v>0</v>
      </c>
      <c r="G10" s="57">
        <f>P37</f>
        <v>2222.2222222222222</v>
      </c>
      <c r="H10" s="58">
        <f t="shared" si="0"/>
        <v>0</v>
      </c>
      <c r="I10" s="47"/>
      <c r="J10" s="48"/>
      <c r="K10" s="48"/>
      <c r="L10" s="48">
        <f t="shared" ref="L10:L13" si="4">I10*J10*K10</f>
        <v>0</v>
      </c>
      <c r="M10" s="39">
        <v>150</v>
      </c>
      <c r="N10" s="46">
        <f t="shared" si="2"/>
        <v>0</v>
      </c>
      <c r="O10" s="5">
        <v>0.85</v>
      </c>
      <c r="P10" s="50">
        <f t="shared" si="1"/>
        <v>0</v>
      </c>
    </row>
    <row r="11" spans="1:20" x14ac:dyDescent="0.25">
      <c r="A11" s="26">
        <v>5</v>
      </c>
      <c r="B11" s="4" t="s">
        <v>39</v>
      </c>
      <c r="C11" s="5">
        <v>0</v>
      </c>
      <c r="D11" s="5">
        <v>1</v>
      </c>
      <c r="E11" s="5">
        <v>1</v>
      </c>
      <c r="F11" s="5">
        <f t="shared" si="3"/>
        <v>0</v>
      </c>
      <c r="G11" s="57">
        <f>P42</f>
        <v>141.1764705882353</v>
      </c>
      <c r="H11" s="58">
        <f t="shared" si="0"/>
        <v>0</v>
      </c>
      <c r="I11" s="47"/>
      <c r="J11" s="48"/>
      <c r="K11" s="48"/>
      <c r="L11" s="48">
        <f t="shared" si="4"/>
        <v>0</v>
      </c>
      <c r="M11" s="39">
        <v>150</v>
      </c>
      <c r="N11" s="46">
        <f t="shared" si="2"/>
        <v>0</v>
      </c>
      <c r="O11" s="5">
        <v>0.85</v>
      </c>
      <c r="P11" s="50">
        <f t="shared" si="1"/>
        <v>0</v>
      </c>
    </row>
    <row r="12" spans="1:20" x14ac:dyDescent="0.25">
      <c r="A12" s="26">
        <v>6</v>
      </c>
      <c r="B12" s="4" t="s">
        <v>36</v>
      </c>
      <c r="C12" s="5"/>
      <c r="D12" s="5"/>
      <c r="E12" s="5"/>
      <c r="F12" s="5">
        <f>C12*D12*E12</f>
        <v>0</v>
      </c>
      <c r="G12" s="57">
        <v>92</v>
      </c>
      <c r="H12" s="58">
        <f t="shared" si="0"/>
        <v>0</v>
      </c>
      <c r="I12" s="47"/>
      <c r="J12" s="48"/>
      <c r="K12" s="48"/>
      <c r="L12" s="48">
        <f t="shared" si="4"/>
        <v>0</v>
      </c>
      <c r="M12" s="39">
        <v>150</v>
      </c>
      <c r="N12" s="46">
        <f t="shared" si="2"/>
        <v>0</v>
      </c>
      <c r="O12" s="5">
        <v>0.85</v>
      </c>
      <c r="P12" s="50">
        <f t="shared" si="1"/>
        <v>0</v>
      </c>
    </row>
    <row r="13" spans="1:20" x14ac:dyDescent="0.25">
      <c r="A13" s="26">
        <v>7</v>
      </c>
      <c r="B13" s="4" t="s">
        <v>50</v>
      </c>
      <c r="C13" s="5">
        <v>1</v>
      </c>
      <c r="D13" s="5">
        <v>1</v>
      </c>
      <c r="E13" s="5">
        <v>1</v>
      </c>
      <c r="F13" s="5">
        <f>C13*D13*E13</f>
        <v>1</v>
      </c>
      <c r="G13" s="57">
        <v>0</v>
      </c>
      <c r="H13" s="58">
        <f t="shared" si="0"/>
        <v>0</v>
      </c>
      <c r="I13" s="47"/>
      <c r="J13" s="48"/>
      <c r="K13" s="48"/>
      <c r="L13" s="48">
        <f t="shared" si="4"/>
        <v>0</v>
      </c>
      <c r="M13" s="39">
        <v>175</v>
      </c>
      <c r="N13" s="46">
        <f t="shared" si="2"/>
        <v>0</v>
      </c>
      <c r="O13" s="5">
        <v>0.85</v>
      </c>
      <c r="P13" s="50">
        <f t="shared" si="1"/>
        <v>0</v>
      </c>
    </row>
    <row r="14" spans="1:20" s="21" customFormat="1" ht="15.75" customHeight="1" thickBot="1" x14ac:dyDescent="0.3">
      <c r="A14" s="151" t="s">
        <v>11</v>
      </c>
      <c r="B14" s="151"/>
      <c r="C14" s="151"/>
      <c r="D14" s="151"/>
      <c r="E14" s="151"/>
      <c r="F14" s="8">
        <f>SUM(F7:F13)</f>
        <v>2</v>
      </c>
      <c r="G14" s="8"/>
      <c r="H14" s="80">
        <f>SUM(H7:H13)</f>
        <v>250</v>
      </c>
      <c r="I14" s="152"/>
      <c r="J14" s="153"/>
      <c r="K14" s="154"/>
      <c r="L14" s="52">
        <f>SUM(L7:L13)</f>
        <v>0</v>
      </c>
      <c r="M14" s="53"/>
      <c r="N14" s="54">
        <f>SUM(N7:N13)</f>
        <v>0</v>
      </c>
      <c r="O14" s="55"/>
      <c r="P14" s="56">
        <f>SUM(P7:P13)</f>
        <v>294.11764705882354</v>
      </c>
    </row>
    <row r="15" spans="1:20" ht="16.5" thickTop="1" x14ac:dyDescent="0.25">
      <c r="A15" s="155"/>
      <c r="B15" s="155"/>
      <c r="C15" s="155"/>
      <c r="D15" s="155"/>
      <c r="E15" s="155"/>
      <c r="F15" s="155"/>
      <c r="G15" s="155"/>
      <c r="H15" s="155"/>
      <c r="I15" s="156"/>
      <c r="J15" s="156"/>
      <c r="K15" s="156"/>
      <c r="L15" s="156"/>
      <c r="M15" s="156"/>
      <c r="N15" s="156"/>
      <c r="O15" s="155"/>
      <c r="P15" s="156"/>
    </row>
    <row r="16" spans="1:20" ht="16.5" thickBot="1" x14ac:dyDescent="0.3">
      <c r="A16" s="157" t="s">
        <v>12</v>
      </c>
      <c r="B16" s="158"/>
      <c r="C16" s="158"/>
      <c r="D16" s="158"/>
      <c r="E16" s="158"/>
      <c r="F16" s="158"/>
      <c r="G16" s="158"/>
      <c r="H16" s="158"/>
      <c r="I16" s="159"/>
      <c r="J16" s="159"/>
      <c r="K16" s="159"/>
      <c r="L16" s="159"/>
      <c r="M16" s="159"/>
      <c r="N16" s="159"/>
      <c r="O16" s="158"/>
      <c r="P16" s="160"/>
    </row>
    <row r="17" spans="1:23" ht="16.5" thickTop="1" x14ac:dyDescent="0.25">
      <c r="A17" s="26">
        <v>1</v>
      </c>
      <c r="B17" s="31" t="s">
        <v>82</v>
      </c>
      <c r="C17" s="5"/>
      <c r="D17" s="5"/>
      <c r="E17" s="5"/>
      <c r="F17" s="5">
        <f>C17*D17*E17</f>
        <v>0</v>
      </c>
      <c r="G17" s="57">
        <v>108</v>
      </c>
      <c r="H17" s="58">
        <f t="shared" ref="H17:H25" si="5">F17*G17</f>
        <v>0</v>
      </c>
      <c r="I17" s="41"/>
      <c r="J17" s="42"/>
      <c r="K17" s="42"/>
      <c r="L17" s="42">
        <f>I17*J17*K17</f>
        <v>0</v>
      </c>
      <c r="M17" s="43">
        <v>195</v>
      </c>
      <c r="N17" s="44">
        <f>L17*M17</f>
        <v>0</v>
      </c>
      <c r="O17" s="5">
        <v>0.85</v>
      </c>
      <c r="P17" s="45">
        <f>H17/O17+N17/O17</f>
        <v>0</v>
      </c>
    </row>
    <row r="18" spans="1:23" ht="47.25" x14ac:dyDescent="0.25">
      <c r="A18" s="26">
        <v>2</v>
      </c>
      <c r="B18" s="31" t="s">
        <v>83</v>
      </c>
      <c r="C18" s="5"/>
      <c r="D18" s="5"/>
      <c r="E18" s="5"/>
      <c r="F18" s="5">
        <f t="shared" ref="F18:F25" si="6">C18*D18*E18</f>
        <v>0</v>
      </c>
      <c r="G18" s="57">
        <v>108</v>
      </c>
      <c r="H18" s="58">
        <f t="shared" si="5"/>
        <v>0</v>
      </c>
      <c r="I18" s="59"/>
      <c r="J18" s="60"/>
      <c r="K18" s="60"/>
      <c r="L18" s="60">
        <f t="shared" ref="L18:L25" si="7">I18*J18*K18</f>
        <v>0</v>
      </c>
      <c r="M18" s="57">
        <v>195</v>
      </c>
      <c r="N18" s="61">
        <f t="shared" ref="N18:N25" si="8">L18*M18</f>
        <v>0</v>
      </c>
      <c r="O18" s="5">
        <v>0.85</v>
      </c>
      <c r="P18" s="49">
        <f t="shared" ref="P18:P25" si="9">H18/O18+N18/O18</f>
        <v>0</v>
      </c>
      <c r="U18" s="62"/>
    </row>
    <row r="19" spans="1:23" x14ac:dyDescent="0.25">
      <c r="A19" s="26">
        <v>3</v>
      </c>
      <c r="B19" s="18" t="s">
        <v>84</v>
      </c>
      <c r="C19" s="5"/>
      <c r="D19" s="5"/>
      <c r="E19" s="5"/>
      <c r="F19" s="5">
        <f t="shared" si="6"/>
        <v>0</v>
      </c>
      <c r="G19" s="57">
        <v>108</v>
      </c>
      <c r="H19" s="58">
        <f t="shared" si="5"/>
        <v>0</v>
      </c>
      <c r="I19" s="59"/>
      <c r="J19" s="60"/>
      <c r="K19" s="60"/>
      <c r="L19" s="60">
        <f t="shared" si="7"/>
        <v>0</v>
      </c>
      <c r="M19" s="57">
        <v>195</v>
      </c>
      <c r="N19" s="61">
        <f t="shared" si="8"/>
        <v>0</v>
      </c>
      <c r="O19" s="5">
        <v>0.85</v>
      </c>
      <c r="P19" s="49">
        <f t="shared" si="9"/>
        <v>0</v>
      </c>
      <c r="R19" s="63"/>
      <c r="U19" s="62"/>
    </row>
    <row r="20" spans="1:23" ht="31.5" x14ac:dyDescent="0.25">
      <c r="A20" s="26">
        <v>4</v>
      </c>
      <c r="B20" s="18" t="s">
        <v>85</v>
      </c>
      <c r="C20" s="5"/>
      <c r="D20" s="5"/>
      <c r="E20" s="5"/>
      <c r="F20" s="5">
        <f t="shared" si="6"/>
        <v>0</v>
      </c>
      <c r="G20" s="57">
        <v>108</v>
      </c>
      <c r="H20" s="58">
        <f t="shared" si="5"/>
        <v>0</v>
      </c>
      <c r="I20" s="59"/>
      <c r="J20" s="60"/>
      <c r="K20" s="60"/>
      <c r="L20" s="60">
        <f t="shared" si="7"/>
        <v>0</v>
      </c>
      <c r="M20" s="57">
        <v>195</v>
      </c>
      <c r="N20" s="61">
        <f t="shared" si="8"/>
        <v>0</v>
      </c>
      <c r="O20" s="5">
        <v>0.85</v>
      </c>
      <c r="P20" s="49">
        <f t="shared" si="9"/>
        <v>0</v>
      </c>
      <c r="U20" s="62"/>
    </row>
    <row r="21" spans="1:23" x14ac:dyDescent="0.25">
      <c r="A21" s="26">
        <v>5</v>
      </c>
      <c r="B21" s="18" t="s">
        <v>86</v>
      </c>
      <c r="C21" s="5"/>
      <c r="D21" s="5"/>
      <c r="E21" s="5"/>
      <c r="F21" s="5">
        <f t="shared" si="6"/>
        <v>0</v>
      </c>
      <c r="G21" s="57">
        <v>108</v>
      </c>
      <c r="H21" s="58">
        <f t="shared" si="5"/>
        <v>0</v>
      </c>
      <c r="I21" s="59"/>
      <c r="J21" s="60"/>
      <c r="K21" s="60"/>
      <c r="L21" s="60">
        <f t="shared" si="7"/>
        <v>0</v>
      </c>
      <c r="M21" s="57">
        <v>195</v>
      </c>
      <c r="N21" s="61">
        <f t="shared" si="8"/>
        <v>0</v>
      </c>
      <c r="O21" s="5">
        <v>0.85</v>
      </c>
      <c r="P21" s="49">
        <f t="shared" si="9"/>
        <v>0</v>
      </c>
    </row>
    <row r="22" spans="1:23" x14ac:dyDescent="0.25">
      <c r="A22" s="26">
        <v>6</v>
      </c>
      <c r="B22" s="18" t="s">
        <v>87</v>
      </c>
      <c r="C22" s="5"/>
      <c r="D22" s="5"/>
      <c r="E22" s="5"/>
      <c r="F22" s="5">
        <f t="shared" si="6"/>
        <v>0</v>
      </c>
      <c r="G22" s="57">
        <v>108</v>
      </c>
      <c r="H22" s="58">
        <f t="shared" si="5"/>
        <v>0</v>
      </c>
      <c r="I22" s="59"/>
      <c r="J22" s="60"/>
      <c r="K22" s="60"/>
      <c r="L22" s="60">
        <f t="shared" si="7"/>
        <v>0</v>
      </c>
      <c r="M22" s="57">
        <v>195</v>
      </c>
      <c r="N22" s="61">
        <f t="shared" si="8"/>
        <v>0</v>
      </c>
      <c r="O22" s="5">
        <v>0.85</v>
      </c>
      <c r="P22" s="49">
        <f t="shared" si="9"/>
        <v>0</v>
      </c>
    </row>
    <row r="23" spans="1:23" ht="31.5" x14ac:dyDescent="0.25">
      <c r="A23" s="26">
        <v>7</v>
      </c>
      <c r="B23" s="18" t="s">
        <v>88</v>
      </c>
      <c r="C23" s="5"/>
      <c r="D23" s="5"/>
      <c r="E23" s="5"/>
      <c r="F23" s="5">
        <f t="shared" si="6"/>
        <v>0</v>
      </c>
      <c r="G23" s="57">
        <v>108</v>
      </c>
      <c r="H23" s="58">
        <f t="shared" si="5"/>
        <v>0</v>
      </c>
      <c r="I23" s="59"/>
      <c r="J23" s="60"/>
      <c r="K23" s="60"/>
      <c r="L23" s="60">
        <f t="shared" si="7"/>
        <v>0</v>
      </c>
      <c r="M23" s="57">
        <v>195</v>
      </c>
      <c r="N23" s="61">
        <f t="shared" si="8"/>
        <v>0</v>
      </c>
      <c r="O23" s="5">
        <v>0.85</v>
      </c>
      <c r="P23" s="49">
        <f t="shared" si="9"/>
        <v>0</v>
      </c>
    </row>
    <row r="24" spans="1:23" x14ac:dyDescent="0.25">
      <c r="A24" s="26">
        <v>8</v>
      </c>
      <c r="B24" s="18" t="s">
        <v>89</v>
      </c>
      <c r="C24" s="5"/>
      <c r="D24" s="5"/>
      <c r="E24" s="5"/>
      <c r="F24" s="5">
        <f t="shared" si="6"/>
        <v>0</v>
      </c>
      <c r="G24" s="57">
        <v>108</v>
      </c>
      <c r="H24" s="58"/>
      <c r="I24" s="59"/>
      <c r="J24" s="60"/>
      <c r="K24" s="60"/>
      <c r="L24" s="60">
        <f t="shared" si="7"/>
        <v>0</v>
      </c>
      <c r="M24" s="57">
        <v>195</v>
      </c>
      <c r="N24" s="61"/>
      <c r="O24" s="5"/>
      <c r="P24" s="49"/>
    </row>
    <row r="25" spans="1:23" x14ac:dyDescent="0.25">
      <c r="A25" s="26">
        <v>9</v>
      </c>
      <c r="B25" s="18" t="s">
        <v>90</v>
      </c>
      <c r="C25" s="5"/>
      <c r="D25" s="5"/>
      <c r="E25" s="5"/>
      <c r="F25" s="5">
        <f t="shared" si="6"/>
        <v>0</v>
      </c>
      <c r="G25" s="57">
        <v>108</v>
      </c>
      <c r="H25" s="58">
        <f t="shared" si="5"/>
        <v>0</v>
      </c>
      <c r="I25" s="59"/>
      <c r="J25" s="60"/>
      <c r="K25" s="60"/>
      <c r="L25" s="60">
        <f t="shared" si="7"/>
        <v>0</v>
      </c>
      <c r="M25" s="57">
        <v>195</v>
      </c>
      <c r="N25" s="61">
        <f t="shared" si="8"/>
        <v>0</v>
      </c>
      <c r="O25" s="5">
        <v>0.85</v>
      </c>
      <c r="P25" s="49">
        <f t="shared" si="9"/>
        <v>0</v>
      </c>
    </row>
    <row r="26" spans="1:23" ht="15.75" customHeight="1" x14ac:dyDescent="0.25">
      <c r="A26" s="157" t="s">
        <v>25</v>
      </c>
      <c r="B26" s="158"/>
      <c r="C26" s="158"/>
      <c r="D26" s="158"/>
      <c r="E26" s="161"/>
      <c r="F26" s="8">
        <f>SUM(F17:F25)</f>
        <v>0</v>
      </c>
      <c r="G26" s="162"/>
      <c r="H26" s="64">
        <f>SUM(H17:H25)</f>
        <v>0</v>
      </c>
      <c r="I26" s="164"/>
      <c r="J26" s="165"/>
      <c r="K26" s="166"/>
      <c r="L26" s="65">
        <f>SUM(L17:L25)</f>
        <v>0</v>
      </c>
      <c r="M26" s="170"/>
      <c r="N26" s="66">
        <f>SUM(N17:N25)</f>
        <v>0</v>
      </c>
      <c r="O26" s="172"/>
      <c r="P26" s="67">
        <f>SUM(P17:P25)</f>
        <v>0</v>
      </c>
      <c r="S26" s="22"/>
      <c r="T26" s="22"/>
    </row>
    <row r="27" spans="1:23" s="21" customFormat="1" ht="15.75" customHeight="1" thickBot="1" x14ac:dyDescent="0.3">
      <c r="A27" s="157" t="s">
        <v>13</v>
      </c>
      <c r="B27" s="158"/>
      <c r="C27" s="158"/>
      <c r="D27" s="158"/>
      <c r="E27" s="161"/>
      <c r="F27" s="8">
        <f>F14+F26</f>
        <v>2</v>
      </c>
      <c r="G27" s="163"/>
      <c r="H27" s="64">
        <f>H14+H26</f>
        <v>250</v>
      </c>
      <c r="I27" s="167"/>
      <c r="J27" s="168"/>
      <c r="K27" s="169"/>
      <c r="L27" s="52">
        <f>L14+L26</f>
        <v>0</v>
      </c>
      <c r="M27" s="171"/>
      <c r="N27" s="68">
        <f>N14+N26</f>
        <v>0</v>
      </c>
      <c r="O27" s="173"/>
      <c r="P27" s="56">
        <f>P14+P26</f>
        <v>294.11764705882354</v>
      </c>
      <c r="S27" s="22"/>
      <c r="T27" s="22"/>
    </row>
    <row r="28" spans="1:23" s="21" customFormat="1" ht="34.5" customHeight="1" thickTop="1" thickBot="1" x14ac:dyDescent="0.3">
      <c r="A28" s="147" t="s">
        <v>23</v>
      </c>
      <c r="B28" s="147"/>
      <c r="C28" s="147"/>
      <c r="D28" s="147"/>
      <c r="E28" s="147"/>
      <c r="F28" s="147"/>
      <c r="G28" s="147"/>
      <c r="H28" s="147"/>
      <c r="I28" s="148"/>
      <c r="J28" s="148"/>
      <c r="K28" s="148"/>
      <c r="L28" s="148"/>
      <c r="M28" s="148"/>
      <c r="N28" s="148"/>
      <c r="O28" s="147"/>
      <c r="P28" s="148"/>
      <c r="S28" s="22"/>
      <c r="T28" s="22"/>
      <c r="U28" s="22"/>
      <c r="V28" s="22"/>
      <c r="W28" s="22"/>
    </row>
    <row r="29" spans="1:23" s="21" customFormat="1" ht="19.5" thickBot="1" x14ac:dyDescent="0.3">
      <c r="A29" s="69" t="s">
        <v>9</v>
      </c>
      <c r="B29" s="69" t="s">
        <v>0</v>
      </c>
      <c r="C29" s="133" t="s">
        <v>28</v>
      </c>
      <c r="D29" s="134"/>
      <c r="E29" s="133" t="s">
        <v>34</v>
      </c>
      <c r="F29" s="134"/>
      <c r="G29" s="135" t="s">
        <v>33</v>
      </c>
      <c r="H29" s="136"/>
      <c r="I29" s="135" t="s">
        <v>29</v>
      </c>
      <c r="J29" s="136"/>
      <c r="K29" s="135" t="s">
        <v>30</v>
      </c>
      <c r="L29" s="136"/>
      <c r="M29" s="135" t="s">
        <v>3</v>
      </c>
      <c r="N29" s="136"/>
      <c r="O29" s="35" t="s">
        <v>19</v>
      </c>
      <c r="P29" s="34" t="s">
        <v>4</v>
      </c>
      <c r="S29" s="22"/>
      <c r="T29" s="22"/>
      <c r="U29" s="22"/>
      <c r="V29" s="22"/>
      <c r="W29" s="22"/>
    </row>
    <row r="30" spans="1:23" s="21" customFormat="1" ht="16.5" thickTop="1" x14ac:dyDescent="0.25">
      <c r="A30" s="13">
        <v>1</v>
      </c>
      <c r="B30" s="14" t="s">
        <v>115</v>
      </c>
      <c r="C30" s="143">
        <v>1</v>
      </c>
      <c r="D30" s="144"/>
      <c r="E30" s="143">
        <v>1</v>
      </c>
      <c r="F30" s="144"/>
      <c r="G30" s="143">
        <v>1</v>
      </c>
      <c r="H30" s="144"/>
      <c r="I30" s="122">
        <f>C30*E30*G30</f>
        <v>1</v>
      </c>
      <c r="J30" s="123"/>
      <c r="K30" s="145">
        <v>2000</v>
      </c>
      <c r="L30" s="146"/>
      <c r="M30" s="126">
        <f>K30*I30</f>
        <v>2000</v>
      </c>
      <c r="N30" s="127"/>
      <c r="O30" s="5">
        <v>0.9</v>
      </c>
      <c r="P30" s="45">
        <f>M30/O30</f>
        <v>2222.2222222222222</v>
      </c>
      <c r="S30" s="22"/>
      <c r="T30" s="22"/>
      <c r="U30" s="22"/>
      <c r="V30" s="22"/>
      <c r="W30" s="22"/>
    </row>
    <row r="31" spans="1:23" s="21" customFormat="1" x14ac:dyDescent="0.25">
      <c r="A31" s="5">
        <v>2</v>
      </c>
      <c r="B31" s="18" t="s">
        <v>67</v>
      </c>
      <c r="C31" s="117"/>
      <c r="D31" s="118"/>
      <c r="E31" s="117"/>
      <c r="F31" s="118"/>
      <c r="G31" s="117"/>
      <c r="H31" s="118"/>
      <c r="I31" s="117">
        <f t="shared" ref="I31:I36" si="10">C31*E31*G31</f>
        <v>0</v>
      </c>
      <c r="J31" s="118"/>
      <c r="K31" s="119"/>
      <c r="L31" s="120"/>
      <c r="M31" s="141">
        <f>K31*I31</f>
        <v>0</v>
      </c>
      <c r="N31" s="142"/>
      <c r="O31" s="5">
        <v>0.85</v>
      </c>
      <c r="P31" s="50">
        <f t="shared" ref="P31:P36" si="11">M31/O31</f>
        <v>0</v>
      </c>
      <c r="S31" s="22"/>
      <c r="T31" s="22"/>
      <c r="U31" s="22"/>
      <c r="V31" s="22"/>
      <c r="W31" s="22"/>
    </row>
    <row r="32" spans="1:23" s="21" customFormat="1" x14ac:dyDescent="0.25">
      <c r="A32" s="5">
        <v>3</v>
      </c>
      <c r="B32" s="18" t="s">
        <v>68</v>
      </c>
      <c r="C32" s="117"/>
      <c r="D32" s="118"/>
      <c r="E32" s="117"/>
      <c r="F32" s="118"/>
      <c r="G32" s="117"/>
      <c r="H32" s="118"/>
      <c r="I32" s="117">
        <f t="shared" si="10"/>
        <v>0</v>
      </c>
      <c r="J32" s="118"/>
      <c r="K32" s="119"/>
      <c r="L32" s="120"/>
      <c r="M32" s="141">
        <f t="shared" ref="M32:M36" si="12">K32*I32</f>
        <v>0</v>
      </c>
      <c r="N32" s="142"/>
      <c r="O32" s="5">
        <v>0.85</v>
      </c>
      <c r="P32" s="50">
        <f t="shared" si="11"/>
        <v>0</v>
      </c>
      <c r="S32" s="22"/>
      <c r="T32" s="22"/>
      <c r="U32" s="22"/>
      <c r="V32" s="22"/>
      <c r="W32" s="22"/>
    </row>
    <row r="33" spans="1:23" s="21" customFormat="1" x14ac:dyDescent="0.25">
      <c r="A33" s="5">
        <v>4</v>
      </c>
      <c r="B33" s="18" t="s">
        <v>69</v>
      </c>
      <c r="C33" s="117"/>
      <c r="D33" s="118"/>
      <c r="E33" s="117"/>
      <c r="F33" s="118"/>
      <c r="G33" s="117"/>
      <c r="H33" s="118"/>
      <c r="I33" s="117">
        <f t="shared" si="10"/>
        <v>0</v>
      </c>
      <c r="J33" s="118"/>
      <c r="K33" s="119"/>
      <c r="L33" s="120"/>
      <c r="M33" s="141">
        <f t="shared" si="12"/>
        <v>0</v>
      </c>
      <c r="N33" s="142"/>
      <c r="O33" s="5">
        <v>0.85</v>
      </c>
      <c r="P33" s="50">
        <f t="shared" si="11"/>
        <v>0</v>
      </c>
      <c r="S33" s="22"/>
      <c r="T33" s="22"/>
      <c r="U33" s="22"/>
      <c r="V33" s="22"/>
      <c r="W33" s="22"/>
    </row>
    <row r="34" spans="1:23" s="21" customFormat="1" x14ac:dyDescent="0.25">
      <c r="A34" s="5">
        <v>5</v>
      </c>
      <c r="B34" s="18" t="s">
        <v>70</v>
      </c>
      <c r="C34" s="117"/>
      <c r="D34" s="118"/>
      <c r="E34" s="117"/>
      <c r="F34" s="118"/>
      <c r="G34" s="117"/>
      <c r="H34" s="118"/>
      <c r="I34" s="117">
        <f t="shared" si="10"/>
        <v>0</v>
      </c>
      <c r="J34" s="118"/>
      <c r="K34" s="119"/>
      <c r="L34" s="120"/>
      <c r="M34" s="141">
        <f t="shared" si="12"/>
        <v>0</v>
      </c>
      <c r="N34" s="142"/>
      <c r="O34" s="5">
        <v>0.85</v>
      </c>
      <c r="P34" s="50">
        <f t="shared" si="11"/>
        <v>0</v>
      </c>
      <c r="S34" s="22"/>
      <c r="T34" s="22"/>
      <c r="U34" s="22"/>
      <c r="V34" s="22"/>
      <c r="W34" s="22"/>
    </row>
    <row r="35" spans="1:23" s="21" customFormat="1" x14ac:dyDescent="0.25">
      <c r="A35" s="5"/>
      <c r="B35" s="18"/>
      <c r="C35" s="117"/>
      <c r="D35" s="118"/>
      <c r="E35" s="117"/>
      <c r="F35" s="118"/>
      <c r="G35" s="117"/>
      <c r="H35" s="118"/>
      <c r="I35" s="117">
        <f t="shared" si="10"/>
        <v>0</v>
      </c>
      <c r="J35" s="118"/>
      <c r="K35" s="119"/>
      <c r="L35" s="120"/>
      <c r="M35" s="141">
        <f t="shared" si="12"/>
        <v>0</v>
      </c>
      <c r="N35" s="142"/>
      <c r="O35" s="5">
        <v>0.85</v>
      </c>
      <c r="P35" s="50">
        <f t="shared" si="11"/>
        <v>0</v>
      </c>
      <c r="S35" s="22"/>
      <c r="T35" s="22"/>
      <c r="U35" s="22"/>
      <c r="V35" s="22"/>
      <c r="W35" s="22"/>
    </row>
    <row r="36" spans="1:23" s="21" customFormat="1" x14ac:dyDescent="0.25">
      <c r="A36" s="5"/>
      <c r="B36" s="18"/>
      <c r="C36" s="117"/>
      <c r="D36" s="118"/>
      <c r="E36" s="117"/>
      <c r="F36" s="118"/>
      <c r="G36" s="117"/>
      <c r="H36" s="118"/>
      <c r="I36" s="137">
        <f t="shared" si="10"/>
        <v>0</v>
      </c>
      <c r="J36" s="138"/>
      <c r="K36" s="119"/>
      <c r="L36" s="120"/>
      <c r="M36" s="139">
        <f t="shared" si="12"/>
        <v>0</v>
      </c>
      <c r="N36" s="140"/>
      <c r="O36" s="5">
        <v>0.85</v>
      </c>
      <c r="P36" s="50">
        <f t="shared" si="11"/>
        <v>0</v>
      </c>
      <c r="S36" s="22"/>
      <c r="T36" s="22"/>
      <c r="U36" s="22"/>
      <c r="V36" s="22"/>
      <c r="W36" s="22"/>
    </row>
    <row r="37" spans="1:23" s="21" customFormat="1" ht="15.75" customHeight="1" thickBot="1" x14ac:dyDescent="0.3">
      <c r="A37" s="128" t="s">
        <v>24</v>
      </c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56">
        <f>SUM(P30:P36)</f>
        <v>2222.2222222222222</v>
      </c>
      <c r="S37" s="22"/>
      <c r="T37" s="22"/>
      <c r="U37" s="22"/>
      <c r="V37" s="22"/>
      <c r="W37" s="22"/>
    </row>
    <row r="38" spans="1:23" ht="34.5" customHeight="1" thickBot="1" x14ac:dyDescent="0.3">
      <c r="A38" s="130" t="s">
        <v>17</v>
      </c>
      <c r="B38" s="131"/>
      <c r="C38" s="131"/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2"/>
      <c r="S38" s="22"/>
      <c r="T38" s="22"/>
      <c r="U38" s="22"/>
      <c r="V38" s="22"/>
      <c r="W38" s="22"/>
    </row>
    <row r="39" spans="1:23" ht="19.5" thickBot="1" x14ac:dyDescent="0.3">
      <c r="A39" s="69" t="s">
        <v>9</v>
      </c>
      <c r="B39" s="69" t="s">
        <v>31</v>
      </c>
      <c r="C39" s="133" t="s">
        <v>28</v>
      </c>
      <c r="D39" s="134"/>
      <c r="E39" s="133" t="s">
        <v>71</v>
      </c>
      <c r="F39" s="134"/>
      <c r="G39" s="135" t="s">
        <v>33</v>
      </c>
      <c r="H39" s="136"/>
      <c r="I39" s="135" t="s">
        <v>29</v>
      </c>
      <c r="J39" s="136"/>
      <c r="K39" s="135" t="s">
        <v>30</v>
      </c>
      <c r="L39" s="136"/>
      <c r="M39" s="135" t="s">
        <v>3</v>
      </c>
      <c r="N39" s="136"/>
      <c r="O39" s="35" t="s">
        <v>19</v>
      </c>
      <c r="P39" s="34" t="s">
        <v>4</v>
      </c>
      <c r="S39" s="22"/>
      <c r="T39" s="22"/>
      <c r="U39" s="22"/>
      <c r="V39" s="22"/>
      <c r="W39" s="22"/>
    </row>
    <row r="40" spans="1:23" ht="16.5" thickTop="1" x14ac:dyDescent="0.25">
      <c r="A40" s="13">
        <v>1</v>
      </c>
      <c r="B40" s="14" t="s">
        <v>116</v>
      </c>
      <c r="C40" s="122">
        <v>1</v>
      </c>
      <c r="D40" s="123"/>
      <c r="E40" s="122">
        <v>10</v>
      </c>
      <c r="F40" s="123"/>
      <c r="G40" s="122">
        <v>1</v>
      </c>
      <c r="H40" s="123"/>
      <c r="I40" s="122">
        <f>G40*E40*C40</f>
        <v>10</v>
      </c>
      <c r="J40" s="123"/>
      <c r="K40" s="124">
        <v>12</v>
      </c>
      <c r="L40" s="125"/>
      <c r="M40" s="126">
        <f>K40*I40</f>
        <v>120</v>
      </c>
      <c r="N40" s="127"/>
      <c r="O40" s="5">
        <v>0.85</v>
      </c>
      <c r="P40" s="70">
        <f>M40/O40</f>
        <v>141.1764705882353</v>
      </c>
      <c r="S40" s="22"/>
      <c r="T40" s="22"/>
      <c r="U40" s="22"/>
      <c r="V40" s="22"/>
      <c r="W40" s="22"/>
    </row>
    <row r="41" spans="1:23" x14ac:dyDescent="0.25">
      <c r="A41" s="13">
        <v>2</v>
      </c>
      <c r="B41" s="4"/>
      <c r="C41" s="117"/>
      <c r="D41" s="118"/>
      <c r="E41" s="117"/>
      <c r="F41" s="118"/>
      <c r="G41" s="117"/>
      <c r="H41" s="118"/>
      <c r="I41" s="117">
        <f t="shared" ref="I41" si="13">G41*E41*C41</f>
        <v>0</v>
      </c>
      <c r="J41" s="118"/>
      <c r="K41" s="119"/>
      <c r="L41" s="120"/>
      <c r="M41" s="121">
        <f t="shared" ref="M41" si="14">K41*I41</f>
        <v>0</v>
      </c>
      <c r="N41" s="121"/>
      <c r="O41" s="5">
        <v>0.85</v>
      </c>
      <c r="P41" s="71">
        <f t="shared" ref="P41" si="15">M41/O41</f>
        <v>0</v>
      </c>
      <c r="S41" s="22"/>
      <c r="T41" s="73"/>
      <c r="U41" s="22"/>
      <c r="V41" s="22"/>
      <c r="W41" s="22"/>
    </row>
    <row r="42" spans="1:23" s="21" customFormat="1" x14ac:dyDescent="0.25">
      <c r="A42" s="109" t="s">
        <v>16</v>
      </c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  <c r="N42" s="110"/>
      <c r="O42" s="110"/>
      <c r="P42" s="74">
        <f>SUM(P40:P41)</f>
        <v>141.1764705882353</v>
      </c>
      <c r="S42" s="22"/>
      <c r="T42" s="22"/>
      <c r="U42" s="22"/>
      <c r="V42" s="22"/>
      <c r="W42" s="22"/>
    </row>
    <row r="43" spans="1:23" ht="16.5" thickTop="1" x14ac:dyDescent="0.25">
      <c r="A43" s="111"/>
      <c r="B43" s="112"/>
      <c r="C43" s="112"/>
      <c r="D43" s="112"/>
      <c r="E43" s="112"/>
      <c r="F43" s="112"/>
      <c r="G43" s="112"/>
      <c r="H43" s="112"/>
      <c r="I43" s="112"/>
      <c r="J43" s="112"/>
      <c r="K43" s="112"/>
      <c r="L43" s="112"/>
      <c r="M43" s="112"/>
      <c r="N43" s="112"/>
      <c r="O43" s="112"/>
      <c r="P43" s="113"/>
      <c r="S43" s="22"/>
      <c r="T43" s="22"/>
      <c r="U43" s="22"/>
      <c r="V43" s="22"/>
      <c r="W43" s="22"/>
    </row>
    <row r="44" spans="1:23" x14ac:dyDescent="0.25">
      <c r="A44" s="114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6"/>
      <c r="S44" s="22"/>
      <c r="T44" s="22"/>
      <c r="U44" s="22"/>
      <c r="V44" s="22"/>
      <c r="W44" s="22"/>
    </row>
    <row r="45" spans="1:23" x14ac:dyDescent="0.25">
      <c r="A45" s="98" t="s">
        <v>14</v>
      </c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100"/>
      <c r="P45" s="75">
        <f>P27+P37+P42</f>
        <v>2657.5163398692807</v>
      </c>
      <c r="S45" s="22"/>
      <c r="T45" s="22"/>
      <c r="U45" s="22"/>
      <c r="V45" s="22"/>
      <c r="W45" s="22"/>
    </row>
    <row r="46" spans="1:23" x14ac:dyDescent="0.25">
      <c r="A46" s="98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100"/>
      <c r="S46" s="22"/>
      <c r="T46" s="22"/>
      <c r="U46" s="22"/>
      <c r="V46" s="22"/>
      <c r="W46" s="22"/>
    </row>
    <row r="47" spans="1:23" x14ac:dyDescent="0.25">
      <c r="A47" s="98" t="s">
        <v>15</v>
      </c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100"/>
      <c r="P47" s="75">
        <v>0</v>
      </c>
      <c r="S47" s="22"/>
      <c r="T47" s="22"/>
      <c r="U47" s="22"/>
      <c r="V47" s="22"/>
      <c r="W47" s="22"/>
    </row>
    <row r="48" spans="1:23" x14ac:dyDescent="0.25">
      <c r="A48" s="98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100"/>
      <c r="S48" s="22"/>
      <c r="T48" s="22"/>
      <c r="U48" s="22"/>
      <c r="V48" s="22"/>
      <c r="W48" s="22"/>
    </row>
    <row r="49" spans="1:23" x14ac:dyDescent="0.25">
      <c r="A49" s="103" t="s">
        <v>20</v>
      </c>
      <c r="B49" s="103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75">
        <v>0</v>
      </c>
      <c r="S49" s="22"/>
      <c r="T49" s="22"/>
      <c r="U49" s="22"/>
      <c r="V49" s="22"/>
      <c r="W49" s="22"/>
    </row>
    <row r="50" spans="1:23" x14ac:dyDescent="0.25">
      <c r="A50" s="98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100"/>
      <c r="S50" s="22"/>
      <c r="T50" s="22"/>
      <c r="U50" s="22"/>
      <c r="V50" s="22"/>
      <c r="W50" s="22"/>
    </row>
    <row r="51" spans="1:23" x14ac:dyDescent="0.25">
      <c r="A51" s="104" t="s">
        <v>49</v>
      </c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76">
        <v>0</v>
      </c>
      <c r="S51" s="22"/>
      <c r="T51" s="22"/>
      <c r="U51" s="22"/>
      <c r="V51" s="22"/>
      <c r="W51" s="22"/>
    </row>
    <row r="52" spans="1:23" x14ac:dyDescent="0.25">
      <c r="A52" s="105"/>
      <c r="B52" s="106"/>
      <c r="C52" s="106"/>
      <c r="D52" s="106"/>
      <c r="E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7"/>
      <c r="S52" s="22"/>
      <c r="T52" s="22"/>
      <c r="U52" s="22"/>
      <c r="V52" s="22"/>
      <c r="W52" s="22"/>
    </row>
    <row r="53" spans="1:23" x14ac:dyDescent="0.25">
      <c r="A53" s="98" t="s">
        <v>10</v>
      </c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100"/>
      <c r="P53" s="75">
        <f>SUM(P45,P47,P49, P51)</f>
        <v>2657.5163398692807</v>
      </c>
      <c r="S53" s="22"/>
      <c r="T53" s="73"/>
      <c r="U53" s="22"/>
      <c r="V53" s="22"/>
      <c r="W53" s="22"/>
    </row>
    <row r="54" spans="1:23" x14ac:dyDescent="0.25">
      <c r="A54" s="98" t="s">
        <v>21</v>
      </c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100"/>
      <c r="P54" s="75">
        <f>P53*0.13</f>
        <v>345.47712418300648</v>
      </c>
    </row>
    <row r="55" spans="1:23" x14ac:dyDescent="0.25">
      <c r="A55" s="98" t="s">
        <v>22</v>
      </c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100"/>
      <c r="P55" s="75">
        <f>P53+P54</f>
        <v>3002.993464052287</v>
      </c>
    </row>
    <row r="56" spans="1:23" x14ac:dyDescent="0.25">
      <c r="A56" s="27" t="s">
        <v>35</v>
      </c>
      <c r="P56" s="29">
        <f>P53*1.13</f>
        <v>3002.993464052287</v>
      </c>
    </row>
    <row r="60" spans="1:23" ht="16.5" thickBot="1" x14ac:dyDescent="0.3"/>
    <row r="61" spans="1:23" ht="32.25" thickBot="1" x14ac:dyDescent="0.3">
      <c r="B61" s="27" t="s">
        <v>91</v>
      </c>
      <c r="C61" s="81" t="s">
        <v>92</v>
      </c>
      <c r="D61" s="93" t="s">
        <v>93</v>
      </c>
      <c r="E61" s="93"/>
      <c r="F61" s="82" t="s">
        <v>94</v>
      </c>
      <c r="G61" s="82" t="s">
        <v>95</v>
      </c>
      <c r="H61" s="83" t="s">
        <v>96</v>
      </c>
      <c r="I61" s="83" t="s">
        <v>97</v>
      </c>
    </row>
    <row r="62" spans="1:23" x14ac:dyDescent="0.25">
      <c r="B62" s="77" t="s">
        <v>98</v>
      </c>
      <c r="C62" s="84">
        <v>102</v>
      </c>
      <c r="D62" s="108">
        <f>(C62+18.5)</f>
        <v>120.5</v>
      </c>
      <c r="E62" s="108"/>
      <c r="F62" s="85">
        <v>203.99</v>
      </c>
      <c r="G62" s="85">
        <f>(F62+18.5)</f>
        <v>222.49</v>
      </c>
      <c r="H62" s="86">
        <v>122.38</v>
      </c>
      <c r="I62" s="87">
        <f>H62+18.5</f>
        <v>140.88</v>
      </c>
      <c r="J62" s="63"/>
      <c r="K62" s="63"/>
    </row>
    <row r="63" spans="1:23" x14ac:dyDescent="0.25">
      <c r="B63" s="77" t="s">
        <v>99</v>
      </c>
      <c r="C63" s="88">
        <v>90.93</v>
      </c>
      <c r="D63" s="108">
        <f t="shared" ref="D63:D69" si="16">(C63+18.5)</f>
        <v>109.43</v>
      </c>
      <c r="E63" s="108"/>
      <c r="F63" s="89">
        <v>181.86</v>
      </c>
      <c r="G63" s="85">
        <f t="shared" ref="G63:G69" si="17">(F63+18.5)</f>
        <v>200.36</v>
      </c>
      <c r="H63" s="90">
        <v>109.13</v>
      </c>
      <c r="I63" s="87">
        <f t="shared" ref="I63:I69" si="18">H63+18.5</f>
        <v>127.63</v>
      </c>
      <c r="J63" s="63"/>
      <c r="K63" s="63"/>
    </row>
    <row r="64" spans="1:23" x14ac:dyDescent="0.25">
      <c r="B64" s="77" t="s">
        <v>100</v>
      </c>
      <c r="C64" s="88">
        <v>74.010000000000005</v>
      </c>
      <c r="D64" s="108">
        <f t="shared" si="16"/>
        <v>92.51</v>
      </c>
      <c r="E64" s="108"/>
      <c r="F64" s="89">
        <v>147.97999999999999</v>
      </c>
      <c r="G64" s="85">
        <f t="shared" si="17"/>
        <v>166.48</v>
      </c>
      <c r="H64" s="90">
        <v>88.78</v>
      </c>
      <c r="I64" s="87">
        <f t="shared" si="18"/>
        <v>107.28</v>
      </c>
      <c r="J64" s="63"/>
      <c r="K64" s="63"/>
    </row>
    <row r="65" spans="2:11" x14ac:dyDescent="0.25">
      <c r="B65" s="77" t="s">
        <v>101</v>
      </c>
      <c r="C65" s="88">
        <v>65.650000000000006</v>
      </c>
      <c r="D65" s="108">
        <f t="shared" si="16"/>
        <v>84.15</v>
      </c>
      <c r="E65" s="108"/>
      <c r="F65" s="89">
        <v>131.30000000000001</v>
      </c>
      <c r="G65" s="85">
        <f t="shared" si="17"/>
        <v>149.80000000000001</v>
      </c>
      <c r="H65" s="90">
        <v>78.790000000000006</v>
      </c>
      <c r="I65" s="87">
        <f t="shared" si="18"/>
        <v>97.29</v>
      </c>
      <c r="J65" s="63"/>
      <c r="K65" s="63"/>
    </row>
    <row r="66" spans="2:11" x14ac:dyDescent="0.25">
      <c r="B66" s="77" t="s">
        <v>102</v>
      </c>
      <c r="C66" s="88">
        <v>57.28</v>
      </c>
      <c r="D66" s="108">
        <f t="shared" si="16"/>
        <v>75.78</v>
      </c>
      <c r="E66" s="108"/>
      <c r="F66" s="89">
        <v>114.57</v>
      </c>
      <c r="G66" s="85">
        <f t="shared" si="17"/>
        <v>133.07</v>
      </c>
      <c r="H66" s="90">
        <v>68.739999999999995</v>
      </c>
      <c r="I66" s="87">
        <f t="shared" si="18"/>
        <v>87.24</v>
      </c>
      <c r="J66" s="63"/>
      <c r="K66" s="63"/>
    </row>
    <row r="67" spans="2:11" x14ac:dyDescent="0.25">
      <c r="B67" s="77" t="s">
        <v>103</v>
      </c>
      <c r="C67" s="88">
        <v>48.95</v>
      </c>
      <c r="D67" s="108">
        <f t="shared" si="16"/>
        <v>67.45</v>
      </c>
      <c r="E67" s="108"/>
      <c r="F67" s="89">
        <v>97.85</v>
      </c>
      <c r="G67" s="85">
        <f t="shared" si="17"/>
        <v>116.35</v>
      </c>
      <c r="H67" s="90">
        <v>58.71</v>
      </c>
      <c r="I67" s="87">
        <f t="shared" si="18"/>
        <v>77.210000000000008</v>
      </c>
      <c r="J67" s="63"/>
      <c r="K67" s="63"/>
    </row>
    <row r="68" spans="2:11" x14ac:dyDescent="0.25">
      <c r="B68" s="77" t="s">
        <v>104</v>
      </c>
      <c r="C68" s="88">
        <v>40.57</v>
      </c>
      <c r="D68" s="108">
        <f t="shared" si="16"/>
        <v>59.07</v>
      </c>
      <c r="E68" s="108"/>
      <c r="F68" s="89">
        <v>81.150000000000006</v>
      </c>
      <c r="G68" s="85">
        <f t="shared" si="17"/>
        <v>99.65</v>
      </c>
      <c r="H68" s="90">
        <v>48.69</v>
      </c>
      <c r="I68" s="87">
        <f t="shared" si="18"/>
        <v>67.19</v>
      </c>
      <c r="J68" s="63"/>
      <c r="K68" s="63"/>
    </row>
    <row r="69" spans="2:11" x14ac:dyDescent="0.25">
      <c r="B69" s="77" t="s">
        <v>117</v>
      </c>
      <c r="C69" s="88">
        <v>32.43</v>
      </c>
      <c r="D69" s="108">
        <f t="shared" si="16"/>
        <v>50.93</v>
      </c>
      <c r="E69" s="108"/>
      <c r="F69" s="89">
        <v>64.86</v>
      </c>
      <c r="G69" s="85">
        <f t="shared" si="17"/>
        <v>83.36</v>
      </c>
      <c r="H69" s="90">
        <v>38.92</v>
      </c>
      <c r="I69" s="87">
        <f t="shared" si="18"/>
        <v>57.42</v>
      </c>
      <c r="J69" s="63"/>
      <c r="K69" s="63"/>
    </row>
    <row r="70" spans="2:11" ht="16.5" thickBot="1" x14ac:dyDescent="0.3">
      <c r="D70" s="101"/>
      <c r="E70" s="102"/>
    </row>
    <row r="71" spans="2:11" ht="32.25" thickBot="1" x14ac:dyDescent="0.3">
      <c r="B71" s="27" t="s">
        <v>105</v>
      </c>
      <c r="C71" s="81" t="s">
        <v>92</v>
      </c>
      <c r="D71" s="93" t="s">
        <v>93</v>
      </c>
      <c r="E71" s="93"/>
      <c r="F71" s="82" t="s">
        <v>94</v>
      </c>
      <c r="G71" s="82" t="s">
        <v>95</v>
      </c>
      <c r="H71" s="83" t="s">
        <v>96</v>
      </c>
      <c r="I71" s="83" t="s">
        <v>97</v>
      </c>
      <c r="K71" s="33" t="s">
        <v>19</v>
      </c>
    </row>
    <row r="72" spans="2:11" x14ac:dyDescent="0.25">
      <c r="B72" s="77" t="s">
        <v>98</v>
      </c>
      <c r="C72" s="92">
        <f>C62/$K$72</f>
        <v>127.5</v>
      </c>
      <c r="D72" s="94">
        <f>D62/$K$72</f>
        <v>150.625</v>
      </c>
      <c r="E72" s="95"/>
      <c r="F72" s="92">
        <f>F62/$K$72</f>
        <v>254.98750000000001</v>
      </c>
      <c r="G72" s="92">
        <f>G62/$K$72</f>
        <v>278.11250000000001</v>
      </c>
      <c r="H72" s="92">
        <f>H62/$K$72</f>
        <v>152.97499999999999</v>
      </c>
      <c r="I72" s="92">
        <f>I62/$K$72</f>
        <v>176.1</v>
      </c>
      <c r="K72" s="5">
        <v>0.8</v>
      </c>
    </row>
    <row r="73" spans="2:11" x14ac:dyDescent="0.25">
      <c r="B73" s="77" t="s">
        <v>99</v>
      </c>
      <c r="C73" s="92">
        <f t="shared" ref="C73:D79" si="19">C63/$K$72</f>
        <v>113.66250000000001</v>
      </c>
      <c r="D73" s="97">
        <f t="shared" si="19"/>
        <v>136.78749999999999</v>
      </c>
      <c r="E73" s="97"/>
      <c r="F73" s="92">
        <f t="shared" ref="F73:I79" si="20">F63/$K$72</f>
        <v>227.32500000000002</v>
      </c>
      <c r="G73" s="92">
        <f t="shared" si="20"/>
        <v>250.45000000000002</v>
      </c>
      <c r="H73" s="92">
        <f t="shared" si="20"/>
        <v>136.41249999999999</v>
      </c>
      <c r="I73" s="92">
        <f t="shared" si="20"/>
        <v>159.53749999999999</v>
      </c>
    </row>
    <row r="74" spans="2:11" x14ac:dyDescent="0.25">
      <c r="B74" s="77" t="s">
        <v>100</v>
      </c>
      <c r="C74" s="92">
        <f t="shared" si="19"/>
        <v>92.512500000000003</v>
      </c>
      <c r="D74" s="97">
        <f t="shared" si="19"/>
        <v>115.6375</v>
      </c>
      <c r="E74" s="97"/>
      <c r="F74" s="92">
        <f t="shared" si="20"/>
        <v>184.97499999999997</v>
      </c>
      <c r="G74" s="92">
        <f t="shared" si="20"/>
        <v>208.09999999999997</v>
      </c>
      <c r="H74" s="92">
        <f t="shared" si="20"/>
        <v>110.97499999999999</v>
      </c>
      <c r="I74" s="92">
        <f t="shared" si="20"/>
        <v>134.1</v>
      </c>
    </row>
    <row r="75" spans="2:11" x14ac:dyDescent="0.25">
      <c r="B75" s="77" t="s">
        <v>101</v>
      </c>
      <c r="C75" s="92">
        <f t="shared" si="19"/>
        <v>82.0625</v>
      </c>
      <c r="D75" s="97">
        <f t="shared" si="19"/>
        <v>105.1875</v>
      </c>
      <c r="E75" s="97"/>
      <c r="F75" s="92">
        <f t="shared" si="20"/>
        <v>164.125</v>
      </c>
      <c r="G75" s="92">
        <f t="shared" si="20"/>
        <v>187.25</v>
      </c>
      <c r="H75" s="92">
        <f t="shared" si="20"/>
        <v>98.487499999999997</v>
      </c>
      <c r="I75" s="92">
        <f t="shared" si="20"/>
        <v>121.6125</v>
      </c>
    </row>
    <row r="76" spans="2:11" x14ac:dyDescent="0.25">
      <c r="B76" s="77" t="s">
        <v>102</v>
      </c>
      <c r="C76" s="92">
        <f t="shared" si="19"/>
        <v>71.599999999999994</v>
      </c>
      <c r="D76" s="97">
        <f t="shared" si="19"/>
        <v>94.724999999999994</v>
      </c>
      <c r="E76" s="97"/>
      <c r="F76" s="92">
        <f t="shared" si="20"/>
        <v>143.21249999999998</v>
      </c>
      <c r="G76" s="92">
        <f t="shared" si="20"/>
        <v>166.33749999999998</v>
      </c>
      <c r="H76" s="92">
        <f t="shared" si="20"/>
        <v>85.924999999999983</v>
      </c>
      <c r="I76" s="92">
        <f t="shared" si="20"/>
        <v>109.04999999999998</v>
      </c>
    </row>
    <row r="77" spans="2:11" x14ac:dyDescent="0.25">
      <c r="B77" s="77" t="s">
        <v>103</v>
      </c>
      <c r="C77" s="92">
        <f t="shared" si="19"/>
        <v>61.1875</v>
      </c>
      <c r="D77" s="97">
        <f t="shared" si="19"/>
        <v>84.3125</v>
      </c>
      <c r="E77" s="97"/>
      <c r="F77" s="92">
        <f t="shared" si="20"/>
        <v>122.31249999999999</v>
      </c>
      <c r="G77" s="92">
        <f t="shared" si="20"/>
        <v>145.43749999999997</v>
      </c>
      <c r="H77" s="92">
        <f t="shared" si="20"/>
        <v>73.387500000000003</v>
      </c>
      <c r="I77" s="92">
        <f t="shared" si="20"/>
        <v>96.512500000000003</v>
      </c>
    </row>
    <row r="78" spans="2:11" x14ac:dyDescent="0.25">
      <c r="B78" s="77" t="s">
        <v>104</v>
      </c>
      <c r="C78" s="92">
        <f t="shared" si="19"/>
        <v>50.712499999999999</v>
      </c>
      <c r="D78" s="97">
        <f t="shared" si="19"/>
        <v>73.837499999999991</v>
      </c>
      <c r="E78" s="97"/>
      <c r="F78" s="92">
        <f t="shared" si="20"/>
        <v>101.4375</v>
      </c>
      <c r="G78" s="92">
        <f t="shared" si="20"/>
        <v>124.5625</v>
      </c>
      <c r="H78" s="92">
        <f t="shared" si="20"/>
        <v>60.862499999999997</v>
      </c>
      <c r="I78" s="92">
        <f t="shared" si="20"/>
        <v>83.987499999999997</v>
      </c>
    </row>
    <row r="79" spans="2:11" x14ac:dyDescent="0.25">
      <c r="B79" s="77" t="s">
        <v>117</v>
      </c>
      <c r="C79" s="92">
        <f t="shared" si="19"/>
        <v>40.537499999999994</v>
      </c>
      <c r="D79" s="97">
        <f t="shared" si="19"/>
        <v>63.662499999999994</v>
      </c>
      <c r="E79" s="97"/>
      <c r="F79" s="92">
        <f t="shared" si="20"/>
        <v>81.074999999999989</v>
      </c>
      <c r="G79" s="92">
        <f t="shared" si="20"/>
        <v>104.19999999999999</v>
      </c>
      <c r="H79" s="92">
        <f t="shared" si="20"/>
        <v>48.65</v>
      </c>
      <c r="I79" s="92">
        <f t="shared" si="20"/>
        <v>71.774999999999991</v>
      </c>
    </row>
    <row r="80" spans="2:11" x14ac:dyDescent="0.25">
      <c r="D80" s="96"/>
      <c r="E80" s="96"/>
    </row>
    <row r="81" spans="2:9" x14ac:dyDescent="0.25">
      <c r="D81" s="96"/>
      <c r="E81" s="96"/>
    </row>
    <row r="82" spans="2:9" x14ac:dyDescent="0.25">
      <c r="B82" s="27" t="s">
        <v>106</v>
      </c>
      <c r="C82" s="27" t="s">
        <v>107</v>
      </c>
    </row>
    <row r="83" spans="2:9" x14ac:dyDescent="0.25">
      <c r="B83" s="27" t="s">
        <v>108</v>
      </c>
      <c r="C83" s="27">
        <v>8.6999999999999993</v>
      </c>
      <c r="G83" s="96">
        <v>2500000</v>
      </c>
      <c r="H83" s="96"/>
      <c r="I83" s="63">
        <f>G83/1000*C83</f>
        <v>21750</v>
      </c>
    </row>
    <row r="84" spans="2:9" x14ac:dyDescent="0.25">
      <c r="B84" s="27" t="s">
        <v>109</v>
      </c>
      <c r="C84" s="27">
        <v>7.9</v>
      </c>
      <c r="G84" s="96">
        <v>2500000</v>
      </c>
      <c r="H84" s="96"/>
      <c r="I84" s="63">
        <f>G84/1000*C84</f>
        <v>19750</v>
      </c>
    </row>
    <row r="85" spans="2:9" x14ac:dyDescent="0.25">
      <c r="B85" s="27" t="s">
        <v>110</v>
      </c>
      <c r="C85" s="27">
        <v>6.95</v>
      </c>
      <c r="G85" s="96">
        <v>2500000</v>
      </c>
      <c r="H85" s="96"/>
      <c r="I85" s="63">
        <f>G85/1000*C85</f>
        <v>17375</v>
      </c>
    </row>
    <row r="86" spans="2:9" x14ac:dyDescent="0.25">
      <c r="B86" s="27" t="s">
        <v>111</v>
      </c>
      <c r="I86" s="63">
        <f>I83+I84+I85</f>
        <v>58875</v>
      </c>
    </row>
    <row r="87" spans="2:9" x14ac:dyDescent="0.25">
      <c r="B87" s="27" t="s">
        <v>112</v>
      </c>
      <c r="C87" s="27">
        <v>12</v>
      </c>
      <c r="I87" s="63">
        <f>I86*C87*0.01</f>
        <v>7065</v>
      </c>
    </row>
    <row r="88" spans="2:9" x14ac:dyDescent="0.25">
      <c r="B88" s="27" t="s">
        <v>113</v>
      </c>
      <c r="I88" s="63">
        <f>I86+I87</f>
        <v>65940</v>
      </c>
    </row>
    <row r="89" spans="2:9" x14ac:dyDescent="0.25">
      <c r="B89" s="27" t="s">
        <v>114</v>
      </c>
      <c r="I89" s="63">
        <f>I88/0.9</f>
        <v>73266.666666666672</v>
      </c>
    </row>
    <row r="96" spans="2:9" x14ac:dyDescent="0.25">
      <c r="F96" s="21"/>
      <c r="G96" s="21"/>
    </row>
    <row r="97" spans="6:7" x14ac:dyDescent="0.25">
      <c r="F97" s="21"/>
      <c r="G97" s="77"/>
    </row>
    <row r="98" spans="6:7" x14ac:dyDescent="0.25">
      <c r="F98" s="21"/>
      <c r="G98" s="77"/>
    </row>
    <row r="99" spans="6:7" x14ac:dyDescent="0.25">
      <c r="F99" s="21"/>
      <c r="G99" s="77"/>
    </row>
    <row r="100" spans="6:7" x14ac:dyDescent="0.25">
      <c r="F100" s="21"/>
      <c r="G100" s="77"/>
    </row>
    <row r="101" spans="6:7" x14ac:dyDescent="0.25">
      <c r="F101" s="21"/>
      <c r="G101" s="77"/>
    </row>
  </sheetData>
  <mergeCells count="125">
    <mergeCell ref="G83:H83"/>
    <mergeCell ref="G84:H84"/>
    <mergeCell ref="G85:H85"/>
    <mergeCell ref="D69:E69"/>
    <mergeCell ref="D79:E79"/>
    <mergeCell ref="A1:P2"/>
    <mergeCell ref="A3:P3"/>
    <mergeCell ref="A4:A5"/>
    <mergeCell ref="B4:B5"/>
    <mergeCell ref="C4:H4"/>
    <mergeCell ref="I4:N4"/>
    <mergeCell ref="O4:O5"/>
    <mergeCell ref="P4:P5"/>
    <mergeCell ref="A27:E27"/>
    <mergeCell ref="A6:P6"/>
    <mergeCell ref="A14:E14"/>
    <mergeCell ref="I14:K14"/>
    <mergeCell ref="A15:P15"/>
    <mergeCell ref="A16:P16"/>
    <mergeCell ref="A26:E26"/>
    <mergeCell ref="G26:G27"/>
    <mergeCell ref="I26:K27"/>
    <mergeCell ref="M26:M27"/>
    <mergeCell ref="O26:O27"/>
    <mergeCell ref="C30:D30"/>
    <mergeCell ref="E30:F30"/>
    <mergeCell ref="G30:H30"/>
    <mergeCell ref="I30:J30"/>
    <mergeCell ref="K30:L30"/>
    <mergeCell ref="M30:N30"/>
    <mergeCell ref="A28:P28"/>
    <mergeCell ref="C29:D29"/>
    <mergeCell ref="E29:F29"/>
    <mergeCell ref="G29:H29"/>
    <mergeCell ref="I29:J29"/>
    <mergeCell ref="K29:L29"/>
    <mergeCell ref="M29:N29"/>
    <mergeCell ref="C32:D32"/>
    <mergeCell ref="E32:F32"/>
    <mergeCell ref="G32:H32"/>
    <mergeCell ref="I32:J32"/>
    <mergeCell ref="K32:L32"/>
    <mergeCell ref="M32:N32"/>
    <mergeCell ref="C31:D31"/>
    <mergeCell ref="E31:F31"/>
    <mergeCell ref="G31:H31"/>
    <mergeCell ref="I31:J31"/>
    <mergeCell ref="K31:L31"/>
    <mergeCell ref="M31:N31"/>
    <mergeCell ref="C34:D34"/>
    <mergeCell ref="E34:F34"/>
    <mergeCell ref="G34:H34"/>
    <mergeCell ref="I34:J34"/>
    <mergeCell ref="K34:L34"/>
    <mergeCell ref="M34:N34"/>
    <mergeCell ref="C33:D33"/>
    <mergeCell ref="E33:F33"/>
    <mergeCell ref="G33:H33"/>
    <mergeCell ref="I33:J33"/>
    <mergeCell ref="K33:L33"/>
    <mergeCell ref="M33:N33"/>
    <mergeCell ref="C36:D36"/>
    <mergeCell ref="E36:F36"/>
    <mergeCell ref="G36:H36"/>
    <mergeCell ref="I36:J36"/>
    <mergeCell ref="K36:L36"/>
    <mergeCell ref="M36:N36"/>
    <mergeCell ref="C35:D35"/>
    <mergeCell ref="E35:F35"/>
    <mergeCell ref="G35:H35"/>
    <mergeCell ref="I35:J35"/>
    <mergeCell ref="K35:L35"/>
    <mergeCell ref="M35:N35"/>
    <mergeCell ref="C40:D40"/>
    <mergeCell ref="E40:F40"/>
    <mergeCell ref="G40:H40"/>
    <mergeCell ref="I40:J40"/>
    <mergeCell ref="K40:L40"/>
    <mergeCell ref="M40:N40"/>
    <mergeCell ref="A37:O37"/>
    <mergeCell ref="A38:P38"/>
    <mergeCell ref="C39:D39"/>
    <mergeCell ref="E39:F39"/>
    <mergeCell ref="G39:H39"/>
    <mergeCell ref="I39:J39"/>
    <mergeCell ref="K39:L39"/>
    <mergeCell ref="M39:N39"/>
    <mergeCell ref="A42:O42"/>
    <mergeCell ref="A43:P44"/>
    <mergeCell ref="A45:O45"/>
    <mergeCell ref="A46:P46"/>
    <mergeCell ref="A47:O47"/>
    <mergeCell ref="A48:P48"/>
    <mergeCell ref="C41:D41"/>
    <mergeCell ref="E41:F41"/>
    <mergeCell ref="G41:H41"/>
    <mergeCell ref="I41:J41"/>
    <mergeCell ref="K41:L41"/>
    <mergeCell ref="M41:N41"/>
    <mergeCell ref="A55:O55"/>
    <mergeCell ref="D67:E67"/>
    <mergeCell ref="D68:E68"/>
    <mergeCell ref="D70:E70"/>
    <mergeCell ref="A49:O49"/>
    <mergeCell ref="A50:P50"/>
    <mergeCell ref="A51:O51"/>
    <mergeCell ref="A52:P52"/>
    <mergeCell ref="A53:O53"/>
    <mergeCell ref="A54:O54"/>
    <mergeCell ref="D61:E61"/>
    <mergeCell ref="D62:E62"/>
    <mergeCell ref="D63:E63"/>
    <mergeCell ref="D64:E64"/>
    <mergeCell ref="D65:E65"/>
    <mergeCell ref="D66:E66"/>
    <mergeCell ref="D71:E71"/>
    <mergeCell ref="D72:E72"/>
    <mergeCell ref="D80:E80"/>
    <mergeCell ref="D81:E81"/>
    <mergeCell ref="D73:E73"/>
    <mergeCell ref="D74:E74"/>
    <mergeCell ref="D75:E75"/>
    <mergeCell ref="D76:E76"/>
    <mergeCell ref="D77:E77"/>
    <mergeCell ref="D78:E78"/>
  </mergeCells>
  <dataValidations disablePrompts="1" count="1">
    <dataValidation type="list" allowBlank="1" showInputMessage="1" showErrorMessage="1" sqref="O7:O13 O17:O25 O30:O36 K72 O40:O41" xr:uid="{CBB21569-1BD9-4C4A-9A51-6C74A98AB71A}">
      <formula1>"1,.95,.94,.93,.92,.91,.9,.89,.88,.87,.86,.85,.84,.83,.82,.81,.8,.79,.78,.77,.76,.75,.74,.73,.72,.71,.7,.66"</formula1>
    </dataValidation>
  </dataValidations>
  <printOptions horizontalCentered="1" verticalCentered="1"/>
  <pageMargins left="0.45" right="0.45" top="0.75" bottom="0.75" header="0.3" footer="0.3"/>
  <pageSetup paperSize="17" scale="72" fitToHeight="0" orientation="portrait" horizontalDpi="300" verticalDpi="300" r:id="rId1"/>
  <colBreaks count="1" manualBreakCount="1">
    <brk id="16" max="83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19A8-7D5F-457C-84BD-48746F3680FF}">
  <dimension ref="A1:W113"/>
  <sheetViews>
    <sheetView zoomScale="80" zoomScaleNormal="80" workbookViewId="0">
      <selection sqref="A1:P2"/>
    </sheetView>
  </sheetViews>
  <sheetFormatPr defaultColWidth="9.140625" defaultRowHeight="15.75" x14ac:dyDescent="0.25"/>
  <cols>
    <col min="1" max="1" width="9.140625" style="27"/>
    <col min="2" max="2" width="44.85546875" style="27" customWidth="1"/>
    <col min="3" max="3" width="14.140625" style="27" customWidth="1"/>
    <col min="4" max="4" width="7.28515625" style="27" customWidth="1"/>
    <col min="5" max="5" width="9.42578125" style="27" customWidth="1"/>
    <col min="6" max="6" width="15.7109375" style="27" customWidth="1"/>
    <col min="7" max="7" width="19.140625" style="27" customWidth="1"/>
    <col min="8" max="14" width="15.28515625" style="27" customWidth="1"/>
    <col min="15" max="15" width="14.85546875" style="27" customWidth="1"/>
    <col min="16" max="16" width="22" style="27" customWidth="1"/>
    <col min="17" max="17" width="9.140625" style="27"/>
    <col min="18" max="18" width="12.42578125" style="27" bestFit="1" customWidth="1"/>
    <col min="19" max="19" width="11.42578125" style="27" customWidth="1"/>
    <col min="20" max="20" width="15.5703125" style="27" bestFit="1" customWidth="1"/>
    <col min="21" max="21" width="12.85546875" style="27" customWidth="1"/>
    <col min="22" max="22" width="13.85546875" style="27" customWidth="1"/>
    <col min="23" max="23" width="11.85546875" style="27" customWidth="1"/>
    <col min="24" max="16384" width="9.140625" style="27"/>
  </cols>
  <sheetData>
    <row r="1" spans="1:20" ht="23.25" customHeight="1" x14ac:dyDescent="0.25">
      <c r="A1" s="174" t="str" cm="1">
        <f t="array" aca="1" ref="A1" ca="1">MID(CELL("filename",C1),FIND("]",CELL("filename",C1))+1,255)</f>
        <v>Location 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6"/>
      <c r="R1" s="27" t="str" cm="1">
        <f t="array" aca="1" ref="R1" ca="1">MID(CELL("filename",C1),FIND("]",CELL("filename",C1))+1,255)</f>
        <v>Location 2</v>
      </c>
    </row>
    <row r="2" spans="1:20" ht="19.5" customHeight="1" thickBot="1" x14ac:dyDescent="0.3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9"/>
    </row>
    <row r="3" spans="1:20" ht="19.5" thickBot="1" x14ac:dyDescent="0.3">
      <c r="A3" s="150" t="s">
        <v>53</v>
      </c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</row>
    <row r="4" spans="1:20" ht="19.5" thickBot="1" x14ac:dyDescent="0.3">
      <c r="A4" s="180" t="s">
        <v>9</v>
      </c>
      <c r="B4" s="180" t="s">
        <v>0</v>
      </c>
      <c r="C4" s="133" t="s">
        <v>54</v>
      </c>
      <c r="D4" s="182"/>
      <c r="E4" s="182"/>
      <c r="F4" s="182"/>
      <c r="G4" s="182"/>
      <c r="H4" s="134"/>
      <c r="I4" s="183" t="s">
        <v>55</v>
      </c>
      <c r="J4" s="184"/>
      <c r="K4" s="184"/>
      <c r="L4" s="184"/>
      <c r="M4" s="184"/>
      <c r="N4" s="185"/>
      <c r="O4" s="180" t="s">
        <v>19</v>
      </c>
      <c r="P4" s="186" t="s">
        <v>56</v>
      </c>
    </row>
    <row r="5" spans="1:20" ht="57" thickBot="1" x14ac:dyDescent="0.3">
      <c r="A5" s="181"/>
      <c r="B5" s="181"/>
      <c r="C5" s="35" t="s">
        <v>1</v>
      </c>
      <c r="D5" s="35" t="s">
        <v>34</v>
      </c>
      <c r="E5" s="35" t="s">
        <v>57</v>
      </c>
      <c r="F5" s="35" t="s">
        <v>58</v>
      </c>
      <c r="G5" s="36" t="s">
        <v>59</v>
      </c>
      <c r="H5" s="36" t="s">
        <v>3</v>
      </c>
      <c r="I5" s="37" t="s">
        <v>1</v>
      </c>
      <c r="J5" s="37" t="s">
        <v>34</v>
      </c>
      <c r="K5" s="37" t="s">
        <v>60</v>
      </c>
      <c r="L5" s="37" t="s">
        <v>61</v>
      </c>
      <c r="M5" s="38" t="s">
        <v>62</v>
      </c>
      <c r="N5" s="37" t="s">
        <v>4</v>
      </c>
      <c r="O5" s="181"/>
      <c r="P5" s="187"/>
    </row>
    <row r="6" spans="1:20" ht="34.5" customHeight="1" thickBot="1" x14ac:dyDescent="0.3">
      <c r="A6" s="150" t="s">
        <v>7</v>
      </c>
      <c r="B6" s="150"/>
      <c r="C6" s="150"/>
      <c r="D6" s="150"/>
      <c r="E6" s="150"/>
      <c r="F6" s="150"/>
      <c r="G6" s="150"/>
      <c r="H6" s="150"/>
      <c r="I6" s="149"/>
      <c r="J6" s="149"/>
      <c r="K6" s="149"/>
      <c r="L6" s="149"/>
      <c r="M6" s="149"/>
      <c r="N6" s="149"/>
      <c r="O6" s="150"/>
      <c r="P6" s="149"/>
      <c r="T6" s="63">
        <f>(P22+P33+P44)*0.05</f>
        <v>0</v>
      </c>
    </row>
    <row r="7" spans="1:20" ht="16.5" thickTop="1" x14ac:dyDescent="0.25">
      <c r="A7" s="23">
        <v>1</v>
      </c>
      <c r="B7" s="24" t="s">
        <v>8</v>
      </c>
      <c r="C7" s="13">
        <v>0</v>
      </c>
      <c r="D7" s="13">
        <v>0</v>
      </c>
      <c r="E7" s="13"/>
      <c r="F7" s="13">
        <f>C7*D7*E7</f>
        <v>0</v>
      </c>
      <c r="G7" s="39">
        <v>90</v>
      </c>
      <c r="H7" s="40">
        <f t="shared" ref="H7:H13" si="0">F7*G7</f>
        <v>0</v>
      </c>
      <c r="I7" s="41"/>
      <c r="J7" s="42"/>
      <c r="K7" s="42"/>
      <c r="L7" s="42">
        <f>I7*J7*K7</f>
        <v>0</v>
      </c>
      <c r="M7" s="43">
        <v>150</v>
      </c>
      <c r="N7" s="44">
        <f>L7*M7</f>
        <v>0</v>
      </c>
      <c r="O7" s="5">
        <v>0.85</v>
      </c>
      <c r="P7" s="45">
        <f>H7/O7+N7/O7</f>
        <v>0</v>
      </c>
      <c r="R7" s="29"/>
    </row>
    <row r="8" spans="1:20" x14ac:dyDescent="0.25">
      <c r="A8" s="23">
        <v>2</v>
      </c>
      <c r="B8" s="4" t="s">
        <v>7</v>
      </c>
      <c r="C8" s="13">
        <v>0.05</v>
      </c>
      <c r="D8" s="13">
        <v>1</v>
      </c>
      <c r="E8" s="13">
        <v>1</v>
      </c>
      <c r="F8" s="13">
        <f>C8*D8*E8</f>
        <v>0.05</v>
      </c>
      <c r="G8" s="39">
        <f>(P22+P33+P44)</f>
        <v>0</v>
      </c>
      <c r="H8" s="46">
        <f t="shared" si="0"/>
        <v>0</v>
      </c>
      <c r="I8" s="47"/>
      <c r="J8" s="48"/>
      <c r="K8" s="48"/>
      <c r="L8" s="48">
        <f>I8*J8*K8</f>
        <v>0</v>
      </c>
      <c r="M8" s="39">
        <v>150</v>
      </c>
      <c r="N8" s="46">
        <f>L8*M8</f>
        <v>0</v>
      </c>
      <c r="O8" s="5">
        <v>0.85</v>
      </c>
      <c r="P8" s="49">
        <f t="shared" ref="P8:P13" si="1">H8/O8+N8/O8</f>
        <v>0</v>
      </c>
    </row>
    <row r="9" spans="1:20" x14ac:dyDescent="0.25">
      <c r="A9" s="23">
        <v>3</v>
      </c>
      <c r="B9" s="4" t="s">
        <v>26</v>
      </c>
      <c r="C9" s="13"/>
      <c r="D9" s="13"/>
      <c r="E9" s="13"/>
      <c r="F9" s="13">
        <f>C9*D9*E9</f>
        <v>0</v>
      </c>
      <c r="G9" s="39">
        <v>2000</v>
      </c>
      <c r="H9" s="46">
        <f t="shared" si="0"/>
        <v>0</v>
      </c>
      <c r="I9" s="47"/>
      <c r="J9" s="48"/>
      <c r="K9" s="48"/>
      <c r="L9" s="48">
        <f>I9*J9*K9</f>
        <v>0</v>
      </c>
      <c r="M9" s="39">
        <v>0</v>
      </c>
      <c r="N9" s="46">
        <f t="shared" ref="N9:N13" si="2">L9*M9</f>
        <v>0</v>
      </c>
      <c r="O9" s="5">
        <v>0.85</v>
      </c>
      <c r="P9" s="50">
        <f t="shared" si="1"/>
        <v>0</v>
      </c>
    </row>
    <row r="10" spans="1:20" x14ac:dyDescent="0.25">
      <c r="A10" s="23">
        <v>4</v>
      </c>
      <c r="B10" s="4" t="s">
        <v>38</v>
      </c>
      <c r="C10" s="13">
        <v>0.05</v>
      </c>
      <c r="D10" s="13">
        <v>1</v>
      </c>
      <c r="E10" s="13">
        <v>1</v>
      </c>
      <c r="F10" s="13">
        <f t="shared" ref="F10:F11" si="3">C10*D10*E10</f>
        <v>0.05</v>
      </c>
      <c r="G10" s="39">
        <f>P33</f>
        <v>0</v>
      </c>
      <c r="H10" s="46">
        <f t="shared" si="0"/>
        <v>0</v>
      </c>
      <c r="I10" s="47"/>
      <c r="J10" s="48"/>
      <c r="K10" s="48"/>
      <c r="L10" s="48">
        <f t="shared" ref="L10:L13" si="4">I10*J10*K10</f>
        <v>0</v>
      </c>
      <c r="M10" s="39">
        <v>150</v>
      </c>
      <c r="N10" s="46">
        <f t="shared" si="2"/>
        <v>0</v>
      </c>
      <c r="O10" s="5">
        <v>0.85</v>
      </c>
      <c r="P10" s="50">
        <f t="shared" si="1"/>
        <v>0</v>
      </c>
    </row>
    <row r="11" spans="1:20" x14ac:dyDescent="0.25">
      <c r="A11" s="23">
        <v>5</v>
      </c>
      <c r="B11" s="4" t="s">
        <v>39</v>
      </c>
      <c r="C11" s="13">
        <v>0.05</v>
      </c>
      <c r="D11" s="13">
        <v>1</v>
      </c>
      <c r="E11" s="13">
        <v>1</v>
      </c>
      <c r="F11" s="13">
        <f t="shared" si="3"/>
        <v>0.05</v>
      </c>
      <c r="G11" s="39">
        <f>P44</f>
        <v>0</v>
      </c>
      <c r="H11" s="46">
        <f t="shared" si="0"/>
        <v>0</v>
      </c>
      <c r="I11" s="47"/>
      <c r="J11" s="48"/>
      <c r="K11" s="48"/>
      <c r="L11" s="48">
        <f t="shared" si="4"/>
        <v>0</v>
      </c>
      <c r="M11" s="39">
        <v>150</v>
      </c>
      <c r="N11" s="46">
        <f t="shared" si="2"/>
        <v>0</v>
      </c>
      <c r="O11" s="5">
        <v>0.85</v>
      </c>
      <c r="P11" s="50">
        <f t="shared" si="1"/>
        <v>0</v>
      </c>
    </row>
    <row r="12" spans="1:20" x14ac:dyDescent="0.25">
      <c r="A12" s="23">
        <v>6</v>
      </c>
      <c r="B12" s="4" t="s">
        <v>36</v>
      </c>
      <c r="C12" s="13"/>
      <c r="D12" s="13"/>
      <c r="E12" s="13"/>
      <c r="F12" s="13">
        <f>C12*D12*E12</f>
        <v>0</v>
      </c>
      <c r="G12" s="39">
        <v>92</v>
      </c>
      <c r="H12" s="46">
        <f t="shared" si="0"/>
        <v>0</v>
      </c>
      <c r="I12" s="47"/>
      <c r="J12" s="48"/>
      <c r="K12" s="48"/>
      <c r="L12" s="48">
        <f t="shared" si="4"/>
        <v>0</v>
      </c>
      <c r="M12" s="39">
        <v>150</v>
      </c>
      <c r="N12" s="46">
        <f t="shared" si="2"/>
        <v>0</v>
      </c>
      <c r="O12" s="5">
        <v>0.85</v>
      </c>
      <c r="P12" s="50">
        <f t="shared" si="1"/>
        <v>0</v>
      </c>
    </row>
    <row r="13" spans="1:20" x14ac:dyDescent="0.25">
      <c r="A13" s="23">
        <v>7</v>
      </c>
      <c r="B13" s="4" t="s">
        <v>50</v>
      </c>
      <c r="C13" s="13">
        <v>1</v>
      </c>
      <c r="D13" s="13">
        <v>1</v>
      </c>
      <c r="E13" s="13">
        <v>1</v>
      </c>
      <c r="F13" s="13">
        <f>C13*D13*E13</f>
        <v>1</v>
      </c>
      <c r="G13" s="39">
        <v>0</v>
      </c>
      <c r="H13" s="46">
        <f t="shared" si="0"/>
        <v>0</v>
      </c>
      <c r="I13" s="47"/>
      <c r="J13" s="48"/>
      <c r="K13" s="48"/>
      <c r="L13" s="48">
        <f t="shared" si="4"/>
        <v>0</v>
      </c>
      <c r="M13" s="39">
        <v>175</v>
      </c>
      <c r="N13" s="46">
        <f t="shared" si="2"/>
        <v>0</v>
      </c>
      <c r="O13" s="5">
        <v>0.85</v>
      </c>
      <c r="P13" s="50">
        <f t="shared" si="1"/>
        <v>0</v>
      </c>
    </row>
    <row r="14" spans="1:20" s="21" customFormat="1" ht="15.75" customHeight="1" thickBot="1" x14ac:dyDescent="0.3">
      <c r="A14" s="157" t="s">
        <v>11</v>
      </c>
      <c r="B14" s="158"/>
      <c r="C14" s="158"/>
      <c r="D14" s="158"/>
      <c r="E14" s="161"/>
      <c r="F14" s="8">
        <f>SUM(F7:F13)</f>
        <v>1.1499999999999999</v>
      </c>
      <c r="G14" s="8"/>
      <c r="H14" s="51">
        <f>SUM(H7:H13)</f>
        <v>0</v>
      </c>
      <c r="I14" s="152"/>
      <c r="J14" s="153"/>
      <c r="K14" s="154"/>
      <c r="L14" s="52">
        <f>SUM(L7:L13)</f>
        <v>0</v>
      </c>
      <c r="M14" s="53"/>
      <c r="N14" s="54">
        <f>SUM(N7:N13)</f>
        <v>0</v>
      </c>
      <c r="O14" s="55"/>
      <c r="P14" s="56">
        <f>SUM(P7:P13)</f>
        <v>0</v>
      </c>
    </row>
    <row r="15" spans="1:20" ht="16.5" thickTop="1" x14ac:dyDescent="0.25">
      <c r="A15" s="155"/>
      <c r="B15" s="155"/>
      <c r="C15" s="155"/>
      <c r="D15" s="155"/>
      <c r="E15" s="155"/>
      <c r="F15" s="155"/>
      <c r="G15" s="155"/>
      <c r="H15" s="155"/>
      <c r="I15" s="156"/>
      <c r="J15" s="156"/>
      <c r="K15" s="156"/>
      <c r="L15" s="156"/>
      <c r="M15" s="156"/>
      <c r="N15" s="156"/>
      <c r="O15" s="155"/>
      <c r="P15" s="156"/>
    </row>
    <row r="16" spans="1:20" ht="16.5" thickBot="1" x14ac:dyDescent="0.3">
      <c r="A16" s="157" t="s">
        <v>12</v>
      </c>
      <c r="B16" s="158"/>
      <c r="C16" s="158"/>
      <c r="D16" s="158"/>
      <c r="E16" s="158"/>
      <c r="F16" s="158"/>
      <c r="G16" s="158"/>
      <c r="H16" s="158"/>
      <c r="I16" s="159"/>
      <c r="J16" s="159"/>
      <c r="K16" s="159"/>
      <c r="L16" s="159"/>
      <c r="M16" s="159"/>
      <c r="N16" s="159"/>
      <c r="O16" s="158"/>
      <c r="P16" s="160"/>
    </row>
    <row r="17" spans="1:23" ht="16.5" thickTop="1" x14ac:dyDescent="0.25">
      <c r="A17" s="26">
        <v>1</v>
      </c>
      <c r="B17" s="31" t="s">
        <v>63</v>
      </c>
      <c r="C17" s="5"/>
      <c r="D17" s="5"/>
      <c r="E17" s="5"/>
      <c r="F17" s="5">
        <f t="shared" ref="F17:F21" si="5">C17*D17*E17</f>
        <v>0</v>
      </c>
      <c r="G17" s="57">
        <v>108</v>
      </c>
      <c r="H17" s="58">
        <f t="shared" ref="H17:H21" si="6">F17*G17</f>
        <v>0</v>
      </c>
      <c r="I17" s="41"/>
      <c r="J17" s="42"/>
      <c r="K17" s="42"/>
      <c r="L17" s="42">
        <f>I17*J17*K17</f>
        <v>0</v>
      </c>
      <c r="M17" s="43">
        <v>195</v>
      </c>
      <c r="N17" s="44">
        <f>L17*M17</f>
        <v>0</v>
      </c>
      <c r="O17" s="5">
        <v>0.85</v>
      </c>
      <c r="P17" s="45">
        <f>H17/O17+N17/O17</f>
        <v>0</v>
      </c>
    </row>
    <row r="18" spans="1:23" x14ac:dyDescent="0.25">
      <c r="A18" s="26">
        <v>2</v>
      </c>
      <c r="B18" s="31" t="s">
        <v>64</v>
      </c>
      <c r="C18" s="5"/>
      <c r="D18" s="5"/>
      <c r="E18" s="5"/>
      <c r="F18" s="5">
        <f t="shared" si="5"/>
        <v>0</v>
      </c>
      <c r="G18" s="57">
        <v>108</v>
      </c>
      <c r="H18" s="58">
        <f t="shared" si="6"/>
        <v>0</v>
      </c>
      <c r="I18" s="59"/>
      <c r="J18" s="60"/>
      <c r="K18" s="60"/>
      <c r="L18" s="60">
        <f t="shared" ref="L18:L21" si="7">I18*J18*K18</f>
        <v>0</v>
      </c>
      <c r="M18" s="57">
        <v>195</v>
      </c>
      <c r="N18" s="61">
        <f t="shared" ref="N18:N21" si="8">L18*M18</f>
        <v>0</v>
      </c>
      <c r="O18" s="5">
        <v>0.85</v>
      </c>
      <c r="P18" s="49">
        <f t="shared" ref="P18:P21" si="9">H18/O18+N18/O18</f>
        <v>0</v>
      </c>
      <c r="U18" s="62"/>
    </row>
    <row r="19" spans="1:23" x14ac:dyDescent="0.25">
      <c r="A19" s="26">
        <v>3</v>
      </c>
      <c r="B19" s="18" t="s">
        <v>65</v>
      </c>
      <c r="C19" s="5"/>
      <c r="D19" s="5"/>
      <c r="E19" s="5"/>
      <c r="F19" s="5">
        <f t="shared" si="5"/>
        <v>0</v>
      </c>
      <c r="G19" s="57">
        <v>108</v>
      </c>
      <c r="H19" s="58">
        <f t="shared" si="6"/>
        <v>0</v>
      </c>
      <c r="I19" s="59"/>
      <c r="J19" s="60"/>
      <c r="K19" s="60"/>
      <c r="L19" s="60">
        <f t="shared" si="7"/>
        <v>0</v>
      </c>
      <c r="M19" s="57">
        <v>195</v>
      </c>
      <c r="N19" s="61">
        <f t="shared" si="8"/>
        <v>0</v>
      </c>
      <c r="O19" s="5">
        <v>0.85</v>
      </c>
      <c r="P19" s="49">
        <f t="shared" si="9"/>
        <v>0</v>
      </c>
      <c r="R19" s="63"/>
      <c r="U19" s="62"/>
    </row>
    <row r="20" spans="1:23" x14ac:dyDescent="0.25">
      <c r="A20" s="26">
        <v>4</v>
      </c>
      <c r="B20" s="18"/>
      <c r="C20" s="5"/>
      <c r="D20" s="5"/>
      <c r="E20" s="5"/>
      <c r="F20" s="5">
        <f t="shared" si="5"/>
        <v>0</v>
      </c>
      <c r="G20" s="57">
        <v>108</v>
      </c>
      <c r="H20" s="58">
        <f t="shared" si="6"/>
        <v>0</v>
      </c>
      <c r="I20" s="59"/>
      <c r="J20" s="60"/>
      <c r="K20" s="60"/>
      <c r="L20" s="60">
        <f t="shared" si="7"/>
        <v>0</v>
      </c>
      <c r="M20" s="57">
        <v>195</v>
      </c>
      <c r="N20" s="61">
        <f t="shared" si="8"/>
        <v>0</v>
      </c>
      <c r="O20" s="5">
        <v>0.85</v>
      </c>
      <c r="P20" s="49">
        <f t="shared" si="9"/>
        <v>0</v>
      </c>
      <c r="U20" s="62"/>
    </row>
    <row r="21" spans="1:23" x14ac:dyDescent="0.25">
      <c r="A21" s="26">
        <v>9</v>
      </c>
      <c r="B21" s="18"/>
      <c r="C21" s="5"/>
      <c r="D21" s="5"/>
      <c r="E21" s="5"/>
      <c r="F21" s="5">
        <f t="shared" si="5"/>
        <v>0</v>
      </c>
      <c r="G21" s="57">
        <v>108</v>
      </c>
      <c r="H21" s="58">
        <f t="shared" si="6"/>
        <v>0</v>
      </c>
      <c r="I21" s="59"/>
      <c r="J21" s="60"/>
      <c r="K21" s="60"/>
      <c r="L21" s="60">
        <f t="shared" si="7"/>
        <v>0</v>
      </c>
      <c r="M21" s="57">
        <v>195</v>
      </c>
      <c r="N21" s="61">
        <f t="shared" si="8"/>
        <v>0</v>
      </c>
      <c r="O21" s="5">
        <v>0.85</v>
      </c>
      <c r="P21" s="49">
        <f t="shared" si="9"/>
        <v>0</v>
      </c>
    </row>
    <row r="22" spans="1:23" ht="15.75" customHeight="1" x14ac:dyDescent="0.25">
      <c r="A22" s="157" t="s">
        <v>25</v>
      </c>
      <c r="B22" s="158"/>
      <c r="C22" s="158"/>
      <c r="D22" s="158"/>
      <c r="E22" s="161"/>
      <c r="F22" s="8">
        <f>SUM(F17:F21)</f>
        <v>0</v>
      </c>
      <c r="G22" s="162"/>
      <c r="H22" s="64">
        <f>SUM(H17:H21)</f>
        <v>0</v>
      </c>
      <c r="I22" s="164"/>
      <c r="J22" s="165"/>
      <c r="K22" s="166"/>
      <c r="L22" s="65">
        <f>SUM(L17:L21)</f>
        <v>0</v>
      </c>
      <c r="M22" s="170"/>
      <c r="N22" s="66">
        <f>SUM(N17:N21)</f>
        <v>0</v>
      </c>
      <c r="O22" s="172"/>
      <c r="P22" s="67">
        <f>SUM(P17:P21)</f>
        <v>0</v>
      </c>
      <c r="S22" s="22"/>
      <c r="T22" s="22"/>
    </row>
    <row r="23" spans="1:23" s="21" customFormat="1" ht="15.75" customHeight="1" thickBot="1" x14ac:dyDescent="0.3">
      <c r="A23" s="157" t="s">
        <v>13</v>
      </c>
      <c r="B23" s="158"/>
      <c r="C23" s="158"/>
      <c r="D23" s="158"/>
      <c r="E23" s="161"/>
      <c r="F23" s="8">
        <f>F14+F22</f>
        <v>1.1499999999999999</v>
      </c>
      <c r="G23" s="163"/>
      <c r="H23" s="64">
        <f>H14+H22</f>
        <v>0</v>
      </c>
      <c r="I23" s="167"/>
      <c r="J23" s="168"/>
      <c r="K23" s="169"/>
      <c r="L23" s="52">
        <f>L14+L22</f>
        <v>0</v>
      </c>
      <c r="M23" s="171"/>
      <c r="N23" s="68">
        <f>N14+N22</f>
        <v>0</v>
      </c>
      <c r="O23" s="173"/>
      <c r="P23" s="56">
        <f>P14+P22</f>
        <v>0</v>
      </c>
      <c r="S23" s="22"/>
      <c r="T23" s="22"/>
    </row>
    <row r="24" spans="1:23" s="21" customFormat="1" ht="34.5" customHeight="1" thickTop="1" thickBot="1" x14ac:dyDescent="0.3">
      <c r="A24" s="147" t="s">
        <v>23</v>
      </c>
      <c r="B24" s="147"/>
      <c r="C24" s="147"/>
      <c r="D24" s="147"/>
      <c r="E24" s="147"/>
      <c r="F24" s="147"/>
      <c r="G24" s="147"/>
      <c r="H24" s="147"/>
      <c r="I24" s="148"/>
      <c r="J24" s="148"/>
      <c r="K24" s="148"/>
      <c r="L24" s="148"/>
      <c r="M24" s="148"/>
      <c r="N24" s="148"/>
      <c r="O24" s="147"/>
      <c r="P24" s="148"/>
      <c r="S24" s="22"/>
      <c r="T24" s="22"/>
      <c r="U24" s="22"/>
      <c r="V24" s="22"/>
      <c r="W24" s="22"/>
    </row>
    <row r="25" spans="1:23" s="21" customFormat="1" ht="19.5" thickBot="1" x14ac:dyDescent="0.3">
      <c r="A25" s="69" t="s">
        <v>9</v>
      </c>
      <c r="B25" s="69" t="s">
        <v>0</v>
      </c>
      <c r="C25" s="133" t="s">
        <v>28</v>
      </c>
      <c r="D25" s="134"/>
      <c r="E25" s="133" t="s">
        <v>34</v>
      </c>
      <c r="F25" s="134"/>
      <c r="G25" s="135" t="s">
        <v>33</v>
      </c>
      <c r="H25" s="136"/>
      <c r="I25" s="135" t="s">
        <v>29</v>
      </c>
      <c r="J25" s="136"/>
      <c r="K25" s="135" t="s">
        <v>30</v>
      </c>
      <c r="L25" s="136"/>
      <c r="M25" s="135" t="s">
        <v>3</v>
      </c>
      <c r="N25" s="136"/>
      <c r="O25" s="35" t="s">
        <v>19</v>
      </c>
      <c r="P25" s="34" t="s">
        <v>4</v>
      </c>
      <c r="S25" s="22"/>
      <c r="T25" s="22"/>
      <c r="U25" s="22"/>
      <c r="V25" s="22"/>
      <c r="W25" s="22"/>
    </row>
    <row r="26" spans="1:23" s="21" customFormat="1" ht="16.5" thickTop="1" x14ac:dyDescent="0.25">
      <c r="A26" s="13">
        <v>1</v>
      </c>
      <c r="B26" s="14" t="s">
        <v>66</v>
      </c>
      <c r="C26" s="143"/>
      <c r="D26" s="144"/>
      <c r="E26" s="143"/>
      <c r="F26" s="144"/>
      <c r="G26" s="143"/>
      <c r="H26" s="144"/>
      <c r="I26" s="122">
        <f>C26*E26*G26</f>
        <v>0</v>
      </c>
      <c r="J26" s="123"/>
      <c r="K26" s="145"/>
      <c r="L26" s="146"/>
      <c r="M26" s="126">
        <f>K26*I26</f>
        <v>0</v>
      </c>
      <c r="N26" s="127"/>
      <c r="O26" s="5">
        <v>0.85</v>
      </c>
      <c r="P26" s="45">
        <f>M26/O26</f>
        <v>0</v>
      </c>
      <c r="S26" s="22"/>
      <c r="T26" s="22"/>
      <c r="U26" s="22"/>
      <c r="V26" s="22"/>
      <c r="W26" s="22"/>
    </row>
    <row r="27" spans="1:23" s="21" customFormat="1" x14ac:dyDescent="0.25">
      <c r="A27" s="5">
        <v>2</v>
      </c>
      <c r="B27" s="18" t="s">
        <v>67</v>
      </c>
      <c r="C27" s="117"/>
      <c r="D27" s="118"/>
      <c r="E27" s="117"/>
      <c r="F27" s="118"/>
      <c r="G27" s="117"/>
      <c r="H27" s="118"/>
      <c r="I27" s="117">
        <f t="shared" ref="I27:I32" si="10">C27*E27*G27</f>
        <v>0</v>
      </c>
      <c r="J27" s="118"/>
      <c r="K27" s="119"/>
      <c r="L27" s="120"/>
      <c r="M27" s="141">
        <f>K27*I27</f>
        <v>0</v>
      </c>
      <c r="N27" s="142"/>
      <c r="O27" s="5">
        <v>0.85</v>
      </c>
      <c r="P27" s="50">
        <f t="shared" ref="P27:P32" si="11">M27/O27</f>
        <v>0</v>
      </c>
      <c r="S27" s="22"/>
      <c r="T27" s="22"/>
      <c r="U27" s="22"/>
      <c r="V27" s="22"/>
      <c r="W27" s="22"/>
    </row>
    <row r="28" spans="1:23" s="21" customFormat="1" x14ac:dyDescent="0.25">
      <c r="A28" s="5">
        <v>3</v>
      </c>
      <c r="B28" s="18" t="s">
        <v>68</v>
      </c>
      <c r="C28" s="117"/>
      <c r="D28" s="118"/>
      <c r="E28" s="117"/>
      <c r="F28" s="118"/>
      <c r="G28" s="117"/>
      <c r="H28" s="118"/>
      <c r="I28" s="117">
        <f t="shared" si="10"/>
        <v>0</v>
      </c>
      <c r="J28" s="118"/>
      <c r="K28" s="119"/>
      <c r="L28" s="120"/>
      <c r="M28" s="141">
        <f t="shared" ref="M28:M32" si="12">K28*I28</f>
        <v>0</v>
      </c>
      <c r="N28" s="142"/>
      <c r="O28" s="5">
        <v>0.85</v>
      </c>
      <c r="P28" s="50">
        <f t="shared" si="11"/>
        <v>0</v>
      </c>
      <c r="S28" s="22"/>
      <c r="T28" s="22"/>
      <c r="U28" s="22"/>
      <c r="V28" s="22"/>
      <c r="W28" s="22"/>
    </row>
    <row r="29" spans="1:23" s="21" customFormat="1" x14ac:dyDescent="0.25">
      <c r="A29" s="5">
        <v>4</v>
      </c>
      <c r="B29" s="18" t="s">
        <v>69</v>
      </c>
      <c r="C29" s="117"/>
      <c r="D29" s="118"/>
      <c r="E29" s="117"/>
      <c r="F29" s="118"/>
      <c r="G29" s="117"/>
      <c r="H29" s="118"/>
      <c r="I29" s="117">
        <f t="shared" si="10"/>
        <v>0</v>
      </c>
      <c r="J29" s="118"/>
      <c r="K29" s="119"/>
      <c r="L29" s="120"/>
      <c r="M29" s="141">
        <f t="shared" si="12"/>
        <v>0</v>
      </c>
      <c r="N29" s="142"/>
      <c r="O29" s="5">
        <v>0.85</v>
      </c>
      <c r="P29" s="50">
        <f t="shared" si="11"/>
        <v>0</v>
      </c>
      <c r="S29" s="22"/>
      <c r="T29" s="22"/>
      <c r="U29" s="22"/>
      <c r="V29" s="22"/>
      <c r="W29" s="22"/>
    </row>
    <row r="30" spans="1:23" s="21" customFormat="1" x14ac:dyDescent="0.25">
      <c r="A30" s="5">
        <v>5</v>
      </c>
      <c r="B30" s="18" t="s">
        <v>70</v>
      </c>
      <c r="C30" s="117"/>
      <c r="D30" s="118"/>
      <c r="E30" s="117"/>
      <c r="F30" s="118"/>
      <c r="G30" s="117"/>
      <c r="H30" s="118"/>
      <c r="I30" s="117">
        <f t="shared" si="10"/>
        <v>0</v>
      </c>
      <c r="J30" s="118"/>
      <c r="K30" s="119"/>
      <c r="L30" s="120"/>
      <c r="M30" s="141">
        <f t="shared" si="12"/>
        <v>0</v>
      </c>
      <c r="N30" s="142"/>
      <c r="O30" s="5">
        <v>0.85</v>
      </c>
      <c r="P30" s="50">
        <f t="shared" si="11"/>
        <v>0</v>
      </c>
      <c r="S30" s="22"/>
      <c r="T30" s="22"/>
      <c r="U30" s="22"/>
      <c r="V30" s="22"/>
      <c r="W30" s="22"/>
    </row>
    <row r="31" spans="1:23" s="21" customFormat="1" x14ac:dyDescent="0.25">
      <c r="A31" s="5"/>
      <c r="B31" s="18"/>
      <c r="C31" s="117"/>
      <c r="D31" s="118"/>
      <c r="E31" s="117"/>
      <c r="F31" s="118"/>
      <c r="G31" s="117"/>
      <c r="H31" s="118"/>
      <c r="I31" s="117">
        <f t="shared" si="10"/>
        <v>0</v>
      </c>
      <c r="J31" s="118"/>
      <c r="K31" s="119"/>
      <c r="L31" s="120"/>
      <c r="M31" s="141">
        <f t="shared" si="12"/>
        <v>0</v>
      </c>
      <c r="N31" s="142"/>
      <c r="O31" s="5">
        <v>0.85</v>
      </c>
      <c r="P31" s="50">
        <f t="shared" si="11"/>
        <v>0</v>
      </c>
      <c r="S31" s="22"/>
      <c r="T31" s="22"/>
      <c r="U31" s="22"/>
      <c r="V31" s="22"/>
      <c r="W31" s="22"/>
    </row>
    <row r="32" spans="1:23" s="21" customFormat="1" x14ac:dyDescent="0.25">
      <c r="A32" s="5"/>
      <c r="B32" s="18"/>
      <c r="C32" s="117"/>
      <c r="D32" s="118"/>
      <c r="E32" s="117"/>
      <c r="F32" s="118"/>
      <c r="G32" s="117"/>
      <c r="H32" s="118"/>
      <c r="I32" s="137">
        <f t="shared" si="10"/>
        <v>0</v>
      </c>
      <c r="J32" s="138"/>
      <c r="K32" s="119"/>
      <c r="L32" s="120"/>
      <c r="M32" s="139">
        <f t="shared" si="12"/>
        <v>0</v>
      </c>
      <c r="N32" s="140"/>
      <c r="O32" s="5">
        <v>0.85</v>
      </c>
      <c r="P32" s="50">
        <f t="shared" si="11"/>
        <v>0</v>
      </c>
      <c r="S32" s="22"/>
      <c r="T32" s="22"/>
      <c r="U32" s="22"/>
      <c r="V32" s="22"/>
      <c r="W32" s="22"/>
    </row>
    <row r="33" spans="1:23" s="21" customFormat="1" ht="15.75" customHeight="1" thickBot="1" x14ac:dyDescent="0.3">
      <c r="A33" s="128" t="s">
        <v>24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29"/>
      <c r="N33" s="129"/>
      <c r="O33" s="129"/>
      <c r="P33" s="56">
        <f>SUM(P26:P32)</f>
        <v>0</v>
      </c>
      <c r="S33" s="22"/>
      <c r="T33" s="22"/>
      <c r="U33" s="22"/>
      <c r="V33" s="22"/>
      <c r="W33" s="22"/>
    </row>
    <row r="34" spans="1:23" ht="34.5" customHeight="1" thickBot="1" x14ac:dyDescent="0.3">
      <c r="A34" s="130" t="s">
        <v>17</v>
      </c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2"/>
      <c r="S34" s="22"/>
      <c r="T34" s="22"/>
      <c r="U34" s="22"/>
      <c r="V34" s="22"/>
      <c r="W34" s="22"/>
    </row>
    <row r="35" spans="1:23" ht="19.5" thickBot="1" x14ac:dyDescent="0.3">
      <c r="A35" s="69" t="s">
        <v>9</v>
      </c>
      <c r="B35" s="69" t="s">
        <v>31</v>
      </c>
      <c r="C35" s="133" t="s">
        <v>28</v>
      </c>
      <c r="D35" s="134"/>
      <c r="E35" s="133" t="s">
        <v>71</v>
      </c>
      <c r="F35" s="134"/>
      <c r="G35" s="135" t="s">
        <v>33</v>
      </c>
      <c r="H35" s="136"/>
      <c r="I35" s="135" t="s">
        <v>29</v>
      </c>
      <c r="J35" s="136"/>
      <c r="K35" s="135" t="s">
        <v>30</v>
      </c>
      <c r="L35" s="136"/>
      <c r="M35" s="135" t="s">
        <v>3</v>
      </c>
      <c r="N35" s="136"/>
      <c r="O35" s="35" t="s">
        <v>19</v>
      </c>
      <c r="P35" s="34" t="s">
        <v>4</v>
      </c>
      <c r="S35" s="22"/>
      <c r="T35" s="22"/>
      <c r="U35" s="22"/>
      <c r="V35" s="22"/>
      <c r="W35" s="22"/>
    </row>
    <row r="36" spans="1:23" ht="16.5" thickTop="1" x14ac:dyDescent="0.25">
      <c r="A36" s="13">
        <v>1</v>
      </c>
      <c r="B36" s="14" t="s">
        <v>72</v>
      </c>
      <c r="C36" s="122"/>
      <c r="D36" s="123"/>
      <c r="E36" s="122"/>
      <c r="F36" s="123"/>
      <c r="G36" s="122"/>
      <c r="H36" s="123"/>
      <c r="I36" s="122">
        <f>G36*E36*C36</f>
        <v>0</v>
      </c>
      <c r="J36" s="123"/>
      <c r="K36" s="124"/>
      <c r="L36" s="125"/>
      <c r="M36" s="126">
        <f>K36*I36</f>
        <v>0</v>
      </c>
      <c r="N36" s="127"/>
      <c r="O36" s="5">
        <v>0.85</v>
      </c>
      <c r="P36" s="70">
        <f>M36/O36</f>
        <v>0</v>
      </c>
      <c r="S36" s="22"/>
      <c r="T36" s="22"/>
      <c r="U36" s="22"/>
      <c r="V36" s="22"/>
      <c r="W36" s="22"/>
    </row>
    <row r="37" spans="1:23" s="22" customFormat="1" x14ac:dyDescent="0.25">
      <c r="A37" s="13">
        <v>2</v>
      </c>
      <c r="B37" s="18" t="s">
        <v>73</v>
      </c>
      <c r="C37" s="117"/>
      <c r="D37" s="118"/>
      <c r="E37" s="117"/>
      <c r="F37" s="118"/>
      <c r="G37" s="117"/>
      <c r="H37" s="118"/>
      <c r="I37" s="117">
        <f t="shared" ref="I37:I43" si="13">G37*E37*C37</f>
        <v>0</v>
      </c>
      <c r="J37" s="118"/>
      <c r="K37" s="119"/>
      <c r="L37" s="120"/>
      <c r="M37" s="141">
        <f t="shared" ref="M37:M39" si="14">K37*I37</f>
        <v>0</v>
      </c>
      <c r="N37" s="142"/>
      <c r="O37" s="5">
        <v>0.85</v>
      </c>
      <c r="P37" s="71">
        <f t="shared" ref="P37:P43" si="15">M37/O37</f>
        <v>0</v>
      </c>
    </row>
    <row r="38" spans="1:23" s="22" customFormat="1" x14ac:dyDescent="0.25">
      <c r="A38" s="13">
        <v>18</v>
      </c>
      <c r="B38" s="72" t="s">
        <v>79</v>
      </c>
      <c r="C38" s="117"/>
      <c r="D38" s="118"/>
      <c r="E38" s="117"/>
      <c r="F38" s="118"/>
      <c r="G38" s="117"/>
      <c r="H38" s="118"/>
      <c r="I38" s="117">
        <f t="shared" si="13"/>
        <v>0</v>
      </c>
      <c r="J38" s="118"/>
      <c r="K38" s="119"/>
      <c r="L38" s="120"/>
      <c r="M38" s="141">
        <f t="shared" si="14"/>
        <v>0</v>
      </c>
      <c r="N38" s="142"/>
      <c r="O38" s="5">
        <v>0.85</v>
      </c>
      <c r="P38" s="71">
        <f t="shared" si="15"/>
        <v>0</v>
      </c>
    </row>
    <row r="39" spans="1:23" s="22" customFormat="1" x14ac:dyDescent="0.25">
      <c r="A39" s="13">
        <v>19</v>
      </c>
      <c r="B39" s="72" t="s">
        <v>80</v>
      </c>
      <c r="C39" s="117"/>
      <c r="D39" s="118"/>
      <c r="E39" s="117"/>
      <c r="F39" s="118"/>
      <c r="G39" s="117"/>
      <c r="H39" s="118"/>
      <c r="I39" s="117">
        <f t="shared" si="13"/>
        <v>0</v>
      </c>
      <c r="J39" s="118"/>
      <c r="K39" s="119"/>
      <c r="L39" s="120"/>
      <c r="M39" s="141">
        <f t="shared" si="14"/>
        <v>0</v>
      </c>
      <c r="N39" s="142"/>
      <c r="O39" s="5">
        <v>0.85</v>
      </c>
      <c r="P39" s="71">
        <f t="shared" si="15"/>
        <v>0</v>
      </c>
    </row>
    <row r="40" spans="1:23" s="22" customFormat="1" ht="31.5" x14ac:dyDescent="0.25">
      <c r="A40" s="13">
        <v>20</v>
      </c>
      <c r="B40" s="72" t="s">
        <v>81</v>
      </c>
      <c r="C40" s="117"/>
      <c r="D40" s="118"/>
      <c r="E40" s="117"/>
      <c r="F40" s="118"/>
      <c r="G40" s="117"/>
      <c r="H40" s="118"/>
      <c r="I40" s="117">
        <f t="shared" si="13"/>
        <v>0</v>
      </c>
      <c r="J40" s="118"/>
      <c r="K40" s="119"/>
      <c r="L40" s="120"/>
      <c r="M40" s="141">
        <f>K40*I40</f>
        <v>0</v>
      </c>
      <c r="N40" s="142"/>
      <c r="O40" s="5">
        <v>0.85</v>
      </c>
      <c r="P40" s="71">
        <f t="shared" si="15"/>
        <v>0</v>
      </c>
    </row>
    <row r="41" spans="1:23" s="22" customFormat="1" x14ac:dyDescent="0.25">
      <c r="A41" s="13">
        <v>27</v>
      </c>
      <c r="B41" s="72" t="s">
        <v>37</v>
      </c>
      <c r="C41" s="117"/>
      <c r="D41" s="118"/>
      <c r="E41" s="117"/>
      <c r="F41" s="118"/>
      <c r="G41" s="117"/>
      <c r="H41" s="118"/>
      <c r="I41" s="117">
        <f t="shared" si="13"/>
        <v>0</v>
      </c>
      <c r="J41" s="118"/>
      <c r="K41" s="119"/>
      <c r="L41" s="120"/>
      <c r="M41" s="121">
        <f>K41*I41</f>
        <v>0</v>
      </c>
      <c r="N41" s="121"/>
      <c r="O41" s="5">
        <v>0.85</v>
      </c>
      <c r="P41" s="71">
        <f>M41/O41</f>
        <v>0</v>
      </c>
    </row>
    <row r="42" spans="1:23" x14ac:dyDescent="0.25">
      <c r="A42" s="13">
        <v>28</v>
      </c>
      <c r="B42" s="18"/>
      <c r="C42" s="117"/>
      <c r="D42" s="118"/>
      <c r="E42" s="117"/>
      <c r="F42" s="118"/>
      <c r="G42" s="117"/>
      <c r="H42" s="118"/>
      <c r="I42" s="117">
        <f t="shared" si="13"/>
        <v>0</v>
      </c>
      <c r="J42" s="118"/>
      <c r="K42" s="119"/>
      <c r="L42" s="120"/>
      <c r="M42" s="121">
        <f t="shared" ref="M42:M43" si="16">K42*I42</f>
        <v>0</v>
      </c>
      <c r="N42" s="121"/>
      <c r="O42" s="5">
        <v>0.85</v>
      </c>
      <c r="P42" s="71">
        <f>M42/O42</f>
        <v>0</v>
      </c>
      <c r="S42" s="22"/>
      <c r="T42" s="22"/>
      <c r="U42" s="22"/>
      <c r="V42" s="22"/>
      <c r="W42" s="22"/>
    </row>
    <row r="43" spans="1:23" x14ac:dyDescent="0.25">
      <c r="A43" s="13">
        <v>29</v>
      </c>
      <c r="B43" s="4"/>
      <c r="C43" s="117"/>
      <c r="D43" s="118"/>
      <c r="E43" s="117"/>
      <c r="F43" s="118"/>
      <c r="G43" s="117"/>
      <c r="H43" s="118"/>
      <c r="I43" s="117">
        <f t="shared" si="13"/>
        <v>0</v>
      </c>
      <c r="J43" s="118"/>
      <c r="K43" s="119"/>
      <c r="L43" s="120"/>
      <c r="M43" s="121">
        <f t="shared" si="16"/>
        <v>0</v>
      </c>
      <c r="N43" s="121"/>
      <c r="O43" s="5">
        <v>0.85</v>
      </c>
      <c r="P43" s="71">
        <f t="shared" si="15"/>
        <v>0</v>
      </c>
      <c r="S43" s="22"/>
      <c r="T43" s="73"/>
      <c r="U43" s="22"/>
      <c r="V43" s="22"/>
      <c r="W43" s="22"/>
    </row>
    <row r="44" spans="1:23" s="21" customFormat="1" ht="16.5" thickBot="1" x14ac:dyDescent="0.3">
      <c r="A44" s="109" t="s">
        <v>16</v>
      </c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74">
        <f>SUM(P36:P43)</f>
        <v>0</v>
      </c>
      <c r="S44" s="22"/>
      <c r="T44" s="22"/>
      <c r="U44" s="22"/>
      <c r="V44" s="22"/>
      <c r="W44" s="22"/>
    </row>
    <row r="45" spans="1:23" ht="16.5" thickTop="1" x14ac:dyDescent="0.25">
      <c r="A45" s="111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3"/>
      <c r="S45" s="22"/>
      <c r="T45" s="22"/>
      <c r="U45" s="22"/>
      <c r="V45" s="22"/>
      <c r="W45" s="22"/>
    </row>
    <row r="46" spans="1:23" x14ac:dyDescent="0.25">
      <c r="A46" s="114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6"/>
      <c r="S46" s="22"/>
      <c r="T46" s="22"/>
      <c r="U46" s="22"/>
      <c r="V46" s="22"/>
      <c r="W46" s="22"/>
    </row>
    <row r="47" spans="1:23" x14ac:dyDescent="0.25">
      <c r="A47" s="98" t="s">
        <v>14</v>
      </c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100"/>
      <c r="P47" s="75">
        <f>P23+P33+P44</f>
        <v>0</v>
      </c>
      <c r="S47" s="22"/>
      <c r="T47" s="22"/>
      <c r="U47" s="22"/>
      <c r="V47" s="22"/>
      <c r="W47" s="22"/>
    </row>
    <row r="48" spans="1:23" x14ac:dyDescent="0.25">
      <c r="A48" s="98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100"/>
      <c r="S48" s="22"/>
      <c r="T48" s="22"/>
      <c r="U48" s="22"/>
      <c r="V48" s="22"/>
      <c r="W48" s="22"/>
    </row>
    <row r="49" spans="1:23" x14ac:dyDescent="0.25">
      <c r="A49" s="98" t="s">
        <v>15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100"/>
      <c r="P49" s="75">
        <v>0</v>
      </c>
      <c r="S49" s="22"/>
      <c r="T49" s="22"/>
      <c r="U49" s="22"/>
      <c r="V49" s="22"/>
      <c r="W49" s="22"/>
    </row>
    <row r="50" spans="1:23" x14ac:dyDescent="0.25">
      <c r="A50" s="98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100"/>
      <c r="S50" s="22"/>
      <c r="T50" s="22"/>
      <c r="U50" s="22"/>
      <c r="V50" s="22"/>
      <c r="W50" s="22"/>
    </row>
    <row r="51" spans="1:23" x14ac:dyDescent="0.25">
      <c r="A51" s="103" t="s">
        <v>20</v>
      </c>
      <c r="B51" s="103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75">
        <v>0</v>
      </c>
      <c r="S51" s="22"/>
      <c r="T51" s="22"/>
      <c r="U51" s="22"/>
      <c r="V51" s="22"/>
      <c r="W51" s="22"/>
    </row>
    <row r="52" spans="1:23" x14ac:dyDescent="0.25">
      <c r="A52" s="98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100"/>
      <c r="S52" s="22"/>
      <c r="T52" s="22"/>
      <c r="U52" s="22"/>
      <c r="V52" s="22"/>
      <c r="W52" s="22"/>
    </row>
    <row r="53" spans="1:23" x14ac:dyDescent="0.25">
      <c r="A53" s="104" t="s">
        <v>49</v>
      </c>
      <c r="B53" s="104"/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  <c r="O53" s="104"/>
      <c r="P53" s="76">
        <v>0</v>
      </c>
      <c r="S53" s="22"/>
      <c r="T53" s="22"/>
      <c r="U53" s="22"/>
      <c r="V53" s="22"/>
      <c r="W53" s="22"/>
    </row>
    <row r="54" spans="1:23" x14ac:dyDescent="0.25">
      <c r="A54" s="105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7"/>
      <c r="S54" s="22"/>
      <c r="T54" s="22"/>
      <c r="U54" s="22"/>
      <c r="V54" s="22"/>
      <c r="W54" s="22"/>
    </row>
    <row r="55" spans="1:23" x14ac:dyDescent="0.25">
      <c r="A55" s="98" t="s">
        <v>10</v>
      </c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100"/>
      <c r="P55" s="75">
        <f>SUM(P47,P49,P51, P53)</f>
        <v>0</v>
      </c>
      <c r="S55" s="22"/>
      <c r="T55" s="73"/>
      <c r="U55" s="22"/>
      <c r="V55" s="22"/>
      <c r="W55" s="22"/>
    </row>
    <row r="56" spans="1:23" x14ac:dyDescent="0.25">
      <c r="A56" s="98" t="s">
        <v>21</v>
      </c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100"/>
      <c r="P56" s="75">
        <f>P55*0.13</f>
        <v>0</v>
      </c>
    </row>
    <row r="57" spans="1:23" x14ac:dyDescent="0.25">
      <c r="A57" s="98" t="s">
        <v>22</v>
      </c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100"/>
      <c r="P57" s="75">
        <f>P55+P56</f>
        <v>0</v>
      </c>
    </row>
    <row r="58" spans="1:23" x14ac:dyDescent="0.25">
      <c r="A58" s="27" t="s">
        <v>35</v>
      </c>
      <c r="P58" s="29">
        <f>P55*1.13</f>
        <v>0</v>
      </c>
    </row>
    <row r="72" spans="2:12" ht="16.5" thickBot="1" x14ac:dyDescent="0.3"/>
    <row r="73" spans="2:12" ht="32.25" thickBot="1" x14ac:dyDescent="0.3">
      <c r="B73" s="27" t="s">
        <v>91</v>
      </c>
      <c r="C73" s="81" t="s">
        <v>92</v>
      </c>
      <c r="D73" s="93" t="s">
        <v>93</v>
      </c>
      <c r="E73" s="93"/>
      <c r="F73" s="82" t="s">
        <v>94</v>
      </c>
      <c r="G73" s="82" t="s">
        <v>95</v>
      </c>
      <c r="H73" s="83" t="s">
        <v>96</v>
      </c>
      <c r="I73" s="83" t="s">
        <v>97</v>
      </c>
    </row>
    <row r="74" spans="2:12" x14ac:dyDescent="0.25">
      <c r="B74" s="77" t="s">
        <v>98</v>
      </c>
      <c r="C74" s="84">
        <v>102</v>
      </c>
      <c r="D74" s="108">
        <f>(C74+18.5)</f>
        <v>120.5</v>
      </c>
      <c r="E74" s="108"/>
      <c r="F74" s="85">
        <v>203.99</v>
      </c>
      <c r="G74" s="85">
        <f>(F74+18.5)</f>
        <v>222.49</v>
      </c>
      <c r="H74" s="86">
        <v>122.38</v>
      </c>
      <c r="I74" s="87">
        <f>H74+18.5</f>
        <v>140.88</v>
      </c>
      <c r="J74" s="63"/>
      <c r="K74" s="63"/>
    </row>
    <row r="75" spans="2:12" x14ac:dyDescent="0.25">
      <c r="B75" s="77" t="s">
        <v>99</v>
      </c>
      <c r="C75" s="88">
        <v>90.93</v>
      </c>
      <c r="D75" s="108">
        <f t="shared" ref="D75:D81" si="17">(C75+18.5)</f>
        <v>109.43</v>
      </c>
      <c r="E75" s="108"/>
      <c r="F75" s="89">
        <v>181.86</v>
      </c>
      <c r="G75" s="85">
        <f t="shared" ref="G75:G81" si="18">(F75+18.5)</f>
        <v>200.36</v>
      </c>
      <c r="H75" s="90">
        <v>109.13</v>
      </c>
      <c r="I75" s="87">
        <f t="shared" ref="I75:I81" si="19">H75+18.5</f>
        <v>127.63</v>
      </c>
      <c r="J75" s="63"/>
      <c r="K75" s="63"/>
    </row>
    <row r="76" spans="2:12" x14ac:dyDescent="0.25">
      <c r="B76" s="77" t="s">
        <v>100</v>
      </c>
      <c r="C76" s="88">
        <v>74.010000000000005</v>
      </c>
      <c r="D76" s="108">
        <f t="shared" si="17"/>
        <v>92.51</v>
      </c>
      <c r="E76" s="108"/>
      <c r="F76" s="89">
        <v>147.97999999999999</v>
      </c>
      <c r="G76" s="85">
        <f t="shared" si="18"/>
        <v>166.48</v>
      </c>
      <c r="H76" s="90">
        <v>88.78</v>
      </c>
      <c r="I76" s="87">
        <f t="shared" si="19"/>
        <v>107.28</v>
      </c>
      <c r="J76" s="63"/>
      <c r="K76" s="63"/>
    </row>
    <row r="77" spans="2:12" x14ac:dyDescent="0.25">
      <c r="B77" s="77" t="s">
        <v>101</v>
      </c>
      <c r="C77" s="88">
        <v>65.650000000000006</v>
      </c>
      <c r="D77" s="108">
        <f t="shared" si="17"/>
        <v>84.15</v>
      </c>
      <c r="E77" s="108"/>
      <c r="F77" s="89">
        <v>131.30000000000001</v>
      </c>
      <c r="G77" s="85">
        <f t="shared" si="18"/>
        <v>149.80000000000001</v>
      </c>
      <c r="H77" s="90">
        <v>78.790000000000006</v>
      </c>
      <c r="I77" s="87">
        <f t="shared" si="19"/>
        <v>97.29</v>
      </c>
      <c r="J77" s="63"/>
      <c r="K77" s="63"/>
    </row>
    <row r="78" spans="2:12" x14ac:dyDescent="0.25">
      <c r="B78" s="77" t="s">
        <v>102</v>
      </c>
      <c r="C78" s="88">
        <v>57.28</v>
      </c>
      <c r="D78" s="108">
        <f t="shared" si="17"/>
        <v>75.78</v>
      </c>
      <c r="E78" s="108"/>
      <c r="F78" s="89">
        <v>114.57</v>
      </c>
      <c r="G78" s="85">
        <f t="shared" si="18"/>
        <v>133.07</v>
      </c>
      <c r="H78" s="90">
        <v>68.739999999999995</v>
      </c>
      <c r="I78" s="87">
        <f t="shared" si="19"/>
        <v>87.24</v>
      </c>
      <c r="J78" s="63"/>
      <c r="K78" s="63"/>
    </row>
    <row r="79" spans="2:12" x14ac:dyDescent="0.25">
      <c r="B79" s="77" t="s">
        <v>103</v>
      </c>
      <c r="C79" s="88">
        <v>48.95</v>
      </c>
      <c r="D79" s="108">
        <f t="shared" si="17"/>
        <v>67.45</v>
      </c>
      <c r="E79" s="108"/>
      <c r="F79" s="89">
        <v>97.85</v>
      </c>
      <c r="G79" s="85">
        <f t="shared" si="18"/>
        <v>116.35</v>
      </c>
      <c r="H79" s="90">
        <v>58.71</v>
      </c>
      <c r="I79" s="87">
        <f t="shared" si="19"/>
        <v>77.210000000000008</v>
      </c>
      <c r="J79" s="63"/>
      <c r="K79" s="63"/>
    </row>
    <row r="80" spans="2:12" x14ac:dyDescent="0.25">
      <c r="B80" s="77" t="s">
        <v>104</v>
      </c>
      <c r="C80" s="88">
        <v>40.57</v>
      </c>
      <c r="D80" s="108">
        <f t="shared" si="17"/>
        <v>59.07</v>
      </c>
      <c r="E80" s="108"/>
      <c r="F80" s="89">
        <v>81.150000000000006</v>
      </c>
      <c r="G80" s="85">
        <f t="shared" si="18"/>
        <v>99.65</v>
      </c>
      <c r="H80" s="90">
        <v>48.69</v>
      </c>
      <c r="I80" s="87">
        <f t="shared" si="19"/>
        <v>67.19</v>
      </c>
      <c r="J80" s="63"/>
      <c r="K80" s="63"/>
      <c r="L80" s="63"/>
    </row>
    <row r="81" spans="2:12" x14ac:dyDescent="0.25">
      <c r="B81" s="77" t="s">
        <v>117</v>
      </c>
      <c r="C81" s="88">
        <v>32.43</v>
      </c>
      <c r="D81" s="108">
        <f t="shared" si="17"/>
        <v>50.93</v>
      </c>
      <c r="E81" s="108"/>
      <c r="F81" s="89">
        <v>64.86</v>
      </c>
      <c r="G81" s="85">
        <f t="shared" si="18"/>
        <v>83.36</v>
      </c>
      <c r="H81" s="90">
        <v>38.92</v>
      </c>
      <c r="I81" s="87">
        <f t="shared" si="19"/>
        <v>57.42</v>
      </c>
      <c r="J81" s="63"/>
      <c r="K81" s="63"/>
      <c r="L81" s="63"/>
    </row>
    <row r="82" spans="2:12" ht="16.5" thickBot="1" x14ac:dyDescent="0.3">
      <c r="D82" s="101"/>
      <c r="E82" s="102"/>
      <c r="L82" s="63"/>
    </row>
    <row r="83" spans="2:12" ht="32.25" thickBot="1" x14ac:dyDescent="0.3">
      <c r="B83" s="27" t="s">
        <v>105</v>
      </c>
      <c r="C83" s="81" t="s">
        <v>92</v>
      </c>
      <c r="D83" s="93" t="s">
        <v>93</v>
      </c>
      <c r="E83" s="93"/>
      <c r="F83" s="82" t="s">
        <v>94</v>
      </c>
      <c r="G83" s="82" t="s">
        <v>95</v>
      </c>
      <c r="H83" s="83" t="s">
        <v>96</v>
      </c>
      <c r="I83" s="83" t="s">
        <v>97</v>
      </c>
      <c r="K83" s="33" t="s">
        <v>19</v>
      </c>
      <c r="L83" s="63"/>
    </row>
    <row r="84" spans="2:12" x14ac:dyDescent="0.25">
      <c r="B84" s="77" t="s">
        <v>98</v>
      </c>
      <c r="C84" s="92">
        <f>C74/$K$84</f>
        <v>127.5</v>
      </c>
      <c r="D84" s="94">
        <f>D74/$K$84</f>
        <v>150.625</v>
      </c>
      <c r="E84" s="95"/>
      <c r="F84" s="92">
        <f>F74/$K$84</f>
        <v>254.98750000000001</v>
      </c>
      <c r="G84" s="92">
        <f>G74/$K$84</f>
        <v>278.11250000000001</v>
      </c>
      <c r="H84" s="92">
        <f>H74/$K$84</f>
        <v>152.97499999999999</v>
      </c>
      <c r="I84" s="92">
        <f>I74/$K$84</f>
        <v>176.1</v>
      </c>
      <c r="K84" s="5">
        <v>0.8</v>
      </c>
      <c r="L84" s="63"/>
    </row>
    <row r="85" spans="2:12" x14ac:dyDescent="0.25">
      <c r="B85" s="77" t="s">
        <v>99</v>
      </c>
      <c r="C85" s="92">
        <f t="shared" ref="C85:D91" si="20">C75/$K$84</f>
        <v>113.66250000000001</v>
      </c>
      <c r="D85" s="97">
        <f t="shared" si="20"/>
        <v>136.78749999999999</v>
      </c>
      <c r="E85" s="97"/>
      <c r="F85" s="92">
        <f t="shared" ref="F85:I91" si="21">F75/$K$84</f>
        <v>227.32500000000002</v>
      </c>
      <c r="G85" s="92">
        <f t="shared" si="21"/>
        <v>250.45000000000002</v>
      </c>
      <c r="H85" s="92">
        <f t="shared" si="21"/>
        <v>136.41249999999999</v>
      </c>
      <c r="I85" s="92">
        <f t="shared" si="21"/>
        <v>159.53749999999999</v>
      </c>
      <c r="L85" s="63"/>
    </row>
    <row r="86" spans="2:12" x14ac:dyDescent="0.25">
      <c r="B86" s="77" t="s">
        <v>100</v>
      </c>
      <c r="C86" s="92">
        <f t="shared" si="20"/>
        <v>92.512500000000003</v>
      </c>
      <c r="D86" s="97">
        <f t="shared" si="20"/>
        <v>115.6375</v>
      </c>
      <c r="E86" s="97"/>
      <c r="F86" s="92">
        <f t="shared" si="21"/>
        <v>184.97499999999997</v>
      </c>
      <c r="G86" s="92">
        <f t="shared" si="21"/>
        <v>208.09999999999997</v>
      </c>
      <c r="H86" s="92">
        <f t="shared" si="21"/>
        <v>110.97499999999999</v>
      </c>
      <c r="I86" s="92">
        <f t="shared" si="21"/>
        <v>134.1</v>
      </c>
      <c r="L86" s="63"/>
    </row>
    <row r="87" spans="2:12" x14ac:dyDescent="0.25">
      <c r="B87" s="77" t="s">
        <v>101</v>
      </c>
      <c r="C87" s="92">
        <f t="shared" si="20"/>
        <v>82.0625</v>
      </c>
      <c r="D87" s="97">
        <f t="shared" si="20"/>
        <v>105.1875</v>
      </c>
      <c r="E87" s="97"/>
      <c r="F87" s="92">
        <f t="shared" si="21"/>
        <v>164.125</v>
      </c>
      <c r="G87" s="92">
        <f t="shared" si="21"/>
        <v>187.25</v>
      </c>
      <c r="H87" s="92">
        <f t="shared" si="21"/>
        <v>98.487499999999997</v>
      </c>
      <c r="I87" s="92">
        <f t="shared" si="21"/>
        <v>121.6125</v>
      </c>
    </row>
    <row r="88" spans="2:12" x14ac:dyDescent="0.25">
      <c r="B88" s="77" t="s">
        <v>102</v>
      </c>
      <c r="C88" s="92">
        <f t="shared" si="20"/>
        <v>71.599999999999994</v>
      </c>
      <c r="D88" s="97">
        <f t="shared" si="20"/>
        <v>94.724999999999994</v>
      </c>
      <c r="E88" s="97"/>
      <c r="F88" s="92">
        <f t="shared" si="21"/>
        <v>143.21249999999998</v>
      </c>
      <c r="G88" s="92">
        <f t="shared" si="21"/>
        <v>166.33749999999998</v>
      </c>
      <c r="H88" s="92">
        <f t="shared" si="21"/>
        <v>85.924999999999983</v>
      </c>
      <c r="I88" s="92">
        <f t="shared" si="21"/>
        <v>109.04999999999998</v>
      </c>
    </row>
    <row r="89" spans="2:12" x14ac:dyDescent="0.25">
      <c r="B89" s="77" t="s">
        <v>103</v>
      </c>
      <c r="C89" s="92">
        <f t="shared" si="20"/>
        <v>61.1875</v>
      </c>
      <c r="D89" s="97">
        <f t="shared" si="20"/>
        <v>84.3125</v>
      </c>
      <c r="E89" s="97"/>
      <c r="F89" s="92">
        <f t="shared" si="21"/>
        <v>122.31249999999999</v>
      </c>
      <c r="G89" s="92">
        <f t="shared" si="21"/>
        <v>145.43749999999997</v>
      </c>
      <c r="H89" s="92">
        <f t="shared" si="21"/>
        <v>73.387500000000003</v>
      </c>
      <c r="I89" s="92">
        <f t="shared" si="21"/>
        <v>96.512500000000003</v>
      </c>
    </row>
    <row r="90" spans="2:12" x14ac:dyDescent="0.25">
      <c r="B90" s="77" t="s">
        <v>104</v>
      </c>
      <c r="C90" s="92">
        <f t="shared" si="20"/>
        <v>50.712499999999999</v>
      </c>
      <c r="D90" s="97">
        <f t="shared" si="20"/>
        <v>73.837499999999991</v>
      </c>
      <c r="E90" s="97"/>
      <c r="F90" s="92">
        <f t="shared" si="21"/>
        <v>101.4375</v>
      </c>
      <c r="G90" s="92">
        <f t="shared" si="21"/>
        <v>124.5625</v>
      </c>
      <c r="H90" s="92">
        <f t="shared" si="21"/>
        <v>60.862499999999997</v>
      </c>
      <c r="I90" s="92">
        <f t="shared" si="21"/>
        <v>83.987499999999997</v>
      </c>
    </row>
    <row r="91" spans="2:12" x14ac:dyDescent="0.25">
      <c r="B91" s="77" t="s">
        <v>117</v>
      </c>
      <c r="C91" s="92">
        <f t="shared" si="20"/>
        <v>40.537499999999994</v>
      </c>
      <c r="D91" s="97">
        <f t="shared" si="20"/>
        <v>63.662499999999994</v>
      </c>
      <c r="E91" s="97"/>
      <c r="F91" s="92">
        <f t="shared" si="21"/>
        <v>81.074999999999989</v>
      </c>
      <c r="G91" s="92">
        <f t="shared" si="21"/>
        <v>104.19999999999999</v>
      </c>
      <c r="H91" s="92">
        <f t="shared" si="21"/>
        <v>48.65</v>
      </c>
      <c r="I91" s="92">
        <f t="shared" si="21"/>
        <v>71.774999999999991</v>
      </c>
    </row>
    <row r="92" spans="2:12" x14ac:dyDescent="0.25">
      <c r="D92" s="96"/>
      <c r="E92" s="96"/>
    </row>
    <row r="93" spans="2:12" x14ac:dyDescent="0.25">
      <c r="D93" s="96"/>
      <c r="E93" s="96"/>
    </row>
    <row r="94" spans="2:12" x14ac:dyDescent="0.25">
      <c r="B94" s="27" t="s">
        <v>106</v>
      </c>
      <c r="C94" s="27" t="s">
        <v>107</v>
      </c>
    </row>
    <row r="95" spans="2:12" x14ac:dyDescent="0.25">
      <c r="B95" s="27" t="s">
        <v>108</v>
      </c>
      <c r="C95" s="27">
        <v>8.6999999999999993</v>
      </c>
      <c r="G95" s="96">
        <v>2500000</v>
      </c>
      <c r="H95" s="96"/>
      <c r="I95" s="63">
        <f>G95/1000*C95</f>
        <v>21750</v>
      </c>
    </row>
    <row r="96" spans="2:12" x14ac:dyDescent="0.25">
      <c r="B96" s="27" t="s">
        <v>109</v>
      </c>
      <c r="C96" s="27">
        <v>7.9</v>
      </c>
      <c r="G96" s="96">
        <v>2500000</v>
      </c>
      <c r="H96" s="96"/>
      <c r="I96" s="63">
        <f>G96/1000*C96</f>
        <v>19750</v>
      </c>
    </row>
    <row r="97" spans="2:9" x14ac:dyDescent="0.25">
      <c r="B97" s="27" t="s">
        <v>110</v>
      </c>
      <c r="C97" s="27">
        <v>6.95</v>
      </c>
      <c r="G97" s="96">
        <v>2500000</v>
      </c>
      <c r="H97" s="96"/>
      <c r="I97" s="63">
        <f>G97/1000*C97</f>
        <v>17375</v>
      </c>
    </row>
    <row r="98" spans="2:9" x14ac:dyDescent="0.25">
      <c r="B98" s="27" t="s">
        <v>111</v>
      </c>
      <c r="I98" s="63">
        <f>I95+I96+I97</f>
        <v>58875</v>
      </c>
    </row>
    <row r="99" spans="2:9" x14ac:dyDescent="0.25">
      <c r="B99" s="27" t="s">
        <v>112</v>
      </c>
      <c r="C99" s="27">
        <v>12</v>
      </c>
      <c r="I99" s="63">
        <f>I98*C99*0.01</f>
        <v>7065</v>
      </c>
    </row>
    <row r="100" spans="2:9" x14ac:dyDescent="0.25">
      <c r="B100" s="27" t="s">
        <v>113</v>
      </c>
      <c r="I100" s="63">
        <f>I98+I99</f>
        <v>65940</v>
      </c>
    </row>
    <row r="101" spans="2:9" x14ac:dyDescent="0.25">
      <c r="B101" s="27" t="s">
        <v>114</v>
      </c>
      <c r="I101" s="63">
        <f>I100/0.9</f>
        <v>73266.666666666672</v>
      </c>
    </row>
    <row r="102" spans="2:9" x14ac:dyDescent="0.25">
      <c r="I102" s="63"/>
    </row>
    <row r="103" spans="2:9" x14ac:dyDescent="0.25">
      <c r="I103" s="63"/>
    </row>
    <row r="104" spans="2:9" x14ac:dyDescent="0.25">
      <c r="I104" s="63"/>
    </row>
    <row r="105" spans="2:9" x14ac:dyDescent="0.25">
      <c r="I105" s="63"/>
    </row>
    <row r="108" spans="2:9" x14ac:dyDescent="0.25">
      <c r="F108" s="21"/>
      <c r="G108" s="21"/>
    </row>
    <row r="109" spans="2:9" x14ac:dyDescent="0.25">
      <c r="F109" s="21"/>
      <c r="G109" s="77"/>
    </row>
    <row r="110" spans="2:9" x14ac:dyDescent="0.25">
      <c r="F110" s="21"/>
      <c r="G110" s="77"/>
    </row>
    <row r="111" spans="2:9" x14ac:dyDescent="0.25">
      <c r="F111" s="21"/>
      <c r="G111" s="77"/>
    </row>
    <row r="112" spans="2:9" x14ac:dyDescent="0.25">
      <c r="F112" s="21"/>
      <c r="G112" s="77"/>
    </row>
    <row r="113" spans="6:7" x14ac:dyDescent="0.25">
      <c r="F113" s="21"/>
      <c r="G113" s="77"/>
    </row>
  </sheetData>
  <mergeCells count="161">
    <mergeCell ref="D84:E84"/>
    <mergeCell ref="D85:E85"/>
    <mergeCell ref="D92:E92"/>
    <mergeCell ref="D93:E93"/>
    <mergeCell ref="D86:E86"/>
    <mergeCell ref="D87:E87"/>
    <mergeCell ref="D88:E88"/>
    <mergeCell ref="D89:E89"/>
    <mergeCell ref="D90:E90"/>
    <mergeCell ref="D91:E91"/>
    <mergeCell ref="G95:H95"/>
    <mergeCell ref="G96:H96"/>
    <mergeCell ref="G97:H97"/>
    <mergeCell ref="A57:O57"/>
    <mergeCell ref="D81:E81"/>
    <mergeCell ref="D82:E82"/>
    <mergeCell ref="D83:E83"/>
    <mergeCell ref="A51:O51"/>
    <mergeCell ref="A52:P52"/>
    <mergeCell ref="A53:O53"/>
    <mergeCell ref="A54:P54"/>
    <mergeCell ref="A55:O55"/>
    <mergeCell ref="A56:O56"/>
    <mergeCell ref="D79:E79"/>
    <mergeCell ref="D80:E80"/>
    <mergeCell ref="D73:E73"/>
    <mergeCell ref="D74:E74"/>
    <mergeCell ref="D75:E75"/>
    <mergeCell ref="D76:E76"/>
    <mergeCell ref="D77:E77"/>
    <mergeCell ref="D78:E78"/>
    <mergeCell ref="A44:O44"/>
    <mergeCell ref="A45:P46"/>
    <mergeCell ref="A47:O47"/>
    <mergeCell ref="A48:P48"/>
    <mergeCell ref="A49:O49"/>
    <mergeCell ref="A50:P50"/>
    <mergeCell ref="C43:D43"/>
    <mergeCell ref="E43:F43"/>
    <mergeCell ref="G43:H43"/>
    <mergeCell ref="I43:J43"/>
    <mergeCell ref="K43:L43"/>
    <mergeCell ref="M43:N43"/>
    <mergeCell ref="C42:D42"/>
    <mergeCell ref="E42:F42"/>
    <mergeCell ref="G42:H42"/>
    <mergeCell ref="I42:J42"/>
    <mergeCell ref="K42:L42"/>
    <mergeCell ref="M42:N42"/>
    <mergeCell ref="C41:D41"/>
    <mergeCell ref="E41:F41"/>
    <mergeCell ref="G41:H41"/>
    <mergeCell ref="I41:J41"/>
    <mergeCell ref="K41:L41"/>
    <mergeCell ref="M41:N41"/>
    <mergeCell ref="C40:D40"/>
    <mergeCell ref="E40:F40"/>
    <mergeCell ref="G40:H40"/>
    <mergeCell ref="I40:J40"/>
    <mergeCell ref="K40:L40"/>
    <mergeCell ref="M40:N40"/>
    <mergeCell ref="C39:D39"/>
    <mergeCell ref="E39:F39"/>
    <mergeCell ref="G39:H39"/>
    <mergeCell ref="I39:J39"/>
    <mergeCell ref="K39:L39"/>
    <mergeCell ref="M39:N39"/>
    <mergeCell ref="C38:D38"/>
    <mergeCell ref="E38:F38"/>
    <mergeCell ref="G38:H38"/>
    <mergeCell ref="I38:J38"/>
    <mergeCell ref="K38:L38"/>
    <mergeCell ref="M38:N38"/>
    <mergeCell ref="C37:D37"/>
    <mergeCell ref="E37:F37"/>
    <mergeCell ref="G37:H37"/>
    <mergeCell ref="I37:J37"/>
    <mergeCell ref="K37:L37"/>
    <mergeCell ref="M37:N37"/>
    <mergeCell ref="C36:D36"/>
    <mergeCell ref="E36:F36"/>
    <mergeCell ref="G36:H36"/>
    <mergeCell ref="I36:J36"/>
    <mergeCell ref="K36:L36"/>
    <mergeCell ref="M36:N36"/>
    <mergeCell ref="A33:O33"/>
    <mergeCell ref="A34:P34"/>
    <mergeCell ref="C35:D35"/>
    <mergeCell ref="E35:F35"/>
    <mergeCell ref="G35:H35"/>
    <mergeCell ref="I35:J35"/>
    <mergeCell ref="K35:L35"/>
    <mergeCell ref="M35:N35"/>
    <mergeCell ref="C32:D32"/>
    <mergeCell ref="E32:F32"/>
    <mergeCell ref="G32:H32"/>
    <mergeCell ref="I32:J32"/>
    <mergeCell ref="K32:L32"/>
    <mergeCell ref="M32:N32"/>
    <mergeCell ref="C31:D31"/>
    <mergeCell ref="E31:F31"/>
    <mergeCell ref="G31:H31"/>
    <mergeCell ref="I31:J31"/>
    <mergeCell ref="K31:L31"/>
    <mergeCell ref="M31:N31"/>
    <mergeCell ref="C30:D30"/>
    <mergeCell ref="E30:F30"/>
    <mergeCell ref="G30:H30"/>
    <mergeCell ref="I30:J30"/>
    <mergeCell ref="K30:L30"/>
    <mergeCell ref="M30:N30"/>
    <mergeCell ref="C29:D29"/>
    <mergeCell ref="E29:F29"/>
    <mergeCell ref="G29:H29"/>
    <mergeCell ref="I29:J29"/>
    <mergeCell ref="K29:L29"/>
    <mergeCell ref="M29:N29"/>
    <mergeCell ref="C28:D28"/>
    <mergeCell ref="E28:F28"/>
    <mergeCell ref="G28:H28"/>
    <mergeCell ref="I28:J28"/>
    <mergeCell ref="K28:L28"/>
    <mergeCell ref="M28:N28"/>
    <mergeCell ref="C27:D27"/>
    <mergeCell ref="E27:F27"/>
    <mergeCell ref="G27:H27"/>
    <mergeCell ref="I27:J27"/>
    <mergeCell ref="K27:L27"/>
    <mergeCell ref="M27:N27"/>
    <mergeCell ref="C26:D26"/>
    <mergeCell ref="E26:F26"/>
    <mergeCell ref="G26:H26"/>
    <mergeCell ref="I26:J26"/>
    <mergeCell ref="K26:L26"/>
    <mergeCell ref="M26:N26"/>
    <mergeCell ref="A24:P24"/>
    <mergeCell ref="C25:D25"/>
    <mergeCell ref="E25:F25"/>
    <mergeCell ref="G25:H25"/>
    <mergeCell ref="I25:J25"/>
    <mergeCell ref="K25:L25"/>
    <mergeCell ref="M25:N25"/>
    <mergeCell ref="A6:P6"/>
    <mergeCell ref="A14:E14"/>
    <mergeCell ref="I14:K14"/>
    <mergeCell ref="A15:P15"/>
    <mergeCell ref="A16:P16"/>
    <mergeCell ref="A22:E22"/>
    <mergeCell ref="G22:G23"/>
    <mergeCell ref="I22:K23"/>
    <mergeCell ref="M22:M23"/>
    <mergeCell ref="O22:O23"/>
    <mergeCell ref="A1:P2"/>
    <mergeCell ref="A3:P3"/>
    <mergeCell ref="A4:A5"/>
    <mergeCell ref="B4:B5"/>
    <mergeCell ref="C4:H4"/>
    <mergeCell ref="I4:N4"/>
    <mergeCell ref="O4:O5"/>
    <mergeCell ref="P4:P5"/>
    <mergeCell ref="A23:E23"/>
  </mergeCells>
  <dataValidations count="1">
    <dataValidation type="list" allowBlank="1" showInputMessage="1" showErrorMessage="1" sqref="O7:O13 O17:O21 O26:O32 O36:O43 K84" xr:uid="{809D52A2-FB0C-49B3-A3F7-E2096820E925}">
      <formula1>"1,.95,.94,.93,.92,.91,.9,.89,.88,.87,.86,.85,.84,.83,.82,.81,.8,.79,.78,.77,.76,.75,.74,.73,.72,.71,.7,.66"</formula1>
    </dataValidation>
  </dataValidations>
  <printOptions horizontalCentered="1" verticalCentered="1"/>
  <pageMargins left="0.45" right="0.45" top="0.75" bottom="0.75" header="0.3" footer="0.3"/>
  <pageSetup paperSize="17" scale="72" fitToHeight="0" orientation="portrait" horizontalDpi="300" verticalDpi="300" r:id="rId1"/>
  <colBreaks count="1" manualBreakCount="1">
    <brk id="16" max="83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92EEA-15E5-442E-B48A-3E3ED1234FB2}">
  <dimension ref="A1:W119"/>
  <sheetViews>
    <sheetView zoomScale="80" zoomScaleNormal="80" workbookViewId="0">
      <selection activeCell="A37" sqref="A37:P37"/>
    </sheetView>
  </sheetViews>
  <sheetFormatPr defaultColWidth="9.140625" defaultRowHeight="15.75" x14ac:dyDescent="0.25"/>
  <cols>
    <col min="1" max="1" width="9.140625" style="27"/>
    <col min="2" max="2" width="44.85546875" style="27" customWidth="1"/>
    <col min="3" max="3" width="14.140625" style="27" customWidth="1"/>
    <col min="4" max="4" width="7.28515625" style="27" customWidth="1"/>
    <col min="5" max="5" width="9.42578125" style="27" customWidth="1"/>
    <col min="6" max="6" width="15.7109375" style="27" customWidth="1"/>
    <col min="7" max="7" width="19.140625" style="27" customWidth="1"/>
    <col min="8" max="14" width="15.28515625" style="27" customWidth="1"/>
    <col min="15" max="15" width="14.85546875" style="27" customWidth="1"/>
    <col min="16" max="16" width="22" style="27" customWidth="1"/>
    <col min="17" max="17" width="9.140625" style="27"/>
    <col min="18" max="18" width="12.42578125" style="27" bestFit="1" customWidth="1"/>
    <col min="19" max="19" width="11.42578125" style="27" customWidth="1"/>
    <col min="20" max="20" width="15.5703125" style="27" bestFit="1" customWidth="1"/>
    <col min="21" max="21" width="12.85546875" style="27" customWidth="1"/>
    <col min="22" max="22" width="13.85546875" style="27" customWidth="1"/>
    <col min="23" max="23" width="11.85546875" style="27" customWidth="1"/>
    <col min="24" max="16384" width="9.140625" style="27"/>
  </cols>
  <sheetData>
    <row r="1" spans="1:20" ht="23.25" customHeight="1" x14ac:dyDescent="0.25">
      <c r="A1" s="174" t="str" cm="1">
        <f t="array" aca="1" ref="A1" ca="1">MID(CELL("filename",C1),FIND("]",CELL("filename",C1))+1,255)</f>
        <v>Location 3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6"/>
      <c r="R1" s="27" t="str" cm="1">
        <f t="array" aca="1" ref="R1" ca="1">MID(CELL("filename",C1),FIND("]",CELL("filename",C1))+1,255)</f>
        <v>Location 3</v>
      </c>
    </row>
    <row r="2" spans="1:20" ht="19.5" customHeight="1" thickBot="1" x14ac:dyDescent="0.3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9"/>
    </row>
    <row r="3" spans="1:20" ht="19.5" thickBot="1" x14ac:dyDescent="0.3">
      <c r="A3" s="150" t="s">
        <v>53</v>
      </c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</row>
    <row r="4" spans="1:20" ht="19.5" thickBot="1" x14ac:dyDescent="0.3">
      <c r="A4" s="180" t="s">
        <v>9</v>
      </c>
      <c r="B4" s="180" t="s">
        <v>0</v>
      </c>
      <c r="C4" s="133" t="s">
        <v>54</v>
      </c>
      <c r="D4" s="182"/>
      <c r="E4" s="182"/>
      <c r="F4" s="182"/>
      <c r="G4" s="182"/>
      <c r="H4" s="134"/>
      <c r="I4" s="183" t="s">
        <v>55</v>
      </c>
      <c r="J4" s="184"/>
      <c r="K4" s="184"/>
      <c r="L4" s="184"/>
      <c r="M4" s="184"/>
      <c r="N4" s="185"/>
      <c r="O4" s="180" t="s">
        <v>19</v>
      </c>
      <c r="P4" s="186" t="s">
        <v>56</v>
      </c>
    </row>
    <row r="5" spans="1:20" ht="57" thickBot="1" x14ac:dyDescent="0.3">
      <c r="A5" s="181"/>
      <c r="B5" s="181"/>
      <c r="C5" s="35" t="s">
        <v>1</v>
      </c>
      <c r="D5" s="35" t="s">
        <v>34</v>
      </c>
      <c r="E5" s="35" t="s">
        <v>57</v>
      </c>
      <c r="F5" s="35" t="s">
        <v>58</v>
      </c>
      <c r="G5" s="36" t="s">
        <v>59</v>
      </c>
      <c r="H5" s="36" t="s">
        <v>3</v>
      </c>
      <c r="I5" s="37" t="s">
        <v>1</v>
      </c>
      <c r="J5" s="37" t="s">
        <v>34</v>
      </c>
      <c r="K5" s="37" t="s">
        <v>60</v>
      </c>
      <c r="L5" s="37" t="s">
        <v>61</v>
      </c>
      <c r="M5" s="38" t="s">
        <v>62</v>
      </c>
      <c r="N5" s="37" t="s">
        <v>4</v>
      </c>
      <c r="O5" s="181"/>
      <c r="P5" s="187"/>
    </row>
    <row r="6" spans="1:20" ht="34.5" customHeight="1" thickBot="1" x14ac:dyDescent="0.3">
      <c r="A6" s="150" t="s">
        <v>7</v>
      </c>
      <c r="B6" s="150"/>
      <c r="C6" s="150"/>
      <c r="D6" s="150"/>
      <c r="E6" s="150"/>
      <c r="F6" s="150"/>
      <c r="G6" s="150"/>
      <c r="H6" s="150"/>
      <c r="I6" s="149"/>
      <c r="J6" s="149"/>
      <c r="K6" s="149"/>
      <c r="L6" s="149"/>
      <c r="M6" s="149"/>
      <c r="N6" s="149"/>
      <c r="O6" s="150"/>
      <c r="P6" s="149"/>
      <c r="T6" s="63">
        <f>(P25+P36+P62)*0.05</f>
        <v>0</v>
      </c>
    </row>
    <row r="7" spans="1:20" ht="16.5" thickTop="1" x14ac:dyDescent="0.25">
      <c r="A7" s="23">
        <v>1</v>
      </c>
      <c r="B7" s="24" t="s">
        <v>8</v>
      </c>
      <c r="C7" s="13">
        <v>0</v>
      </c>
      <c r="D7" s="13">
        <v>0</v>
      </c>
      <c r="E7" s="13"/>
      <c r="F7" s="13">
        <f>C7*D7*E7</f>
        <v>0</v>
      </c>
      <c r="G7" s="39">
        <v>90</v>
      </c>
      <c r="H7" s="40">
        <f t="shared" ref="H7:H13" si="0">F7*G7</f>
        <v>0</v>
      </c>
      <c r="I7" s="41"/>
      <c r="J7" s="42"/>
      <c r="K7" s="42"/>
      <c r="L7" s="42">
        <f>I7*J7*K7</f>
        <v>0</v>
      </c>
      <c r="M7" s="43">
        <v>150</v>
      </c>
      <c r="N7" s="44">
        <f>L7*M7</f>
        <v>0</v>
      </c>
      <c r="O7" s="5">
        <v>0.85</v>
      </c>
      <c r="P7" s="45">
        <f>H7/O7+N7/O7</f>
        <v>0</v>
      </c>
      <c r="R7" s="29"/>
    </row>
    <row r="8" spans="1:20" x14ac:dyDescent="0.25">
      <c r="A8" s="23">
        <v>2</v>
      </c>
      <c r="B8" s="4" t="s">
        <v>7</v>
      </c>
      <c r="C8" s="13">
        <v>0.05</v>
      </c>
      <c r="D8" s="13">
        <v>1</v>
      </c>
      <c r="E8" s="13">
        <v>1</v>
      </c>
      <c r="F8" s="13">
        <f>C8*D8*E8</f>
        <v>0.05</v>
      </c>
      <c r="G8" s="39">
        <f>(P25+P36+P62)</f>
        <v>0</v>
      </c>
      <c r="H8" s="46">
        <f t="shared" si="0"/>
        <v>0</v>
      </c>
      <c r="I8" s="47"/>
      <c r="J8" s="48"/>
      <c r="K8" s="48"/>
      <c r="L8" s="48">
        <f>I8*J8*K8</f>
        <v>0</v>
      </c>
      <c r="M8" s="39">
        <v>150</v>
      </c>
      <c r="N8" s="46">
        <f>L8*M8</f>
        <v>0</v>
      </c>
      <c r="O8" s="5">
        <v>0.85</v>
      </c>
      <c r="P8" s="49">
        <f t="shared" ref="P8:P13" si="1">H8/O8+N8/O8</f>
        <v>0</v>
      </c>
    </row>
    <row r="9" spans="1:20" x14ac:dyDescent="0.25">
      <c r="A9" s="23">
        <v>3</v>
      </c>
      <c r="B9" s="4" t="s">
        <v>26</v>
      </c>
      <c r="C9" s="13"/>
      <c r="D9" s="13"/>
      <c r="E9" s="13"/>
      <c r="F9" s="13">
        <f>C9*D9*E9</f>
        <v>0</v>
      </c>
      <c r="G9" s="39">
        <v>2000</v>
      </c>
      <c r="H9" s="46">
        <f t="shared" si="0"/>
        <v>0</v>
      </c>
      <c r="I9" s="47"/>
      <c r="J9" s="48"/>
      <c r="K9" s="48"/>
      <c r="L9" s="48">
        <f>I9*J9*K9</f>
        <v>0</v>
      </c>
      <c r="M9" s="39">
        <v>0</v>
      </c>
      <c r="N9" s="46">
        <f t="shared" ref="N9:N13" si="2">L9*M9</f>
        <v>0</v>
      </c>
      <c r="O9" s="5">
        <v>0.85</v>
      </c>
      <c r="P9" s="50">
        <f t="shared" si="1"/>
        <v>0</v>
      </c>
    </row>
    <row r="10" spans="1:20" x14ac:dyDescent="0.25">
      <c r="A10" s="23">
        <v>4</v>
      </c>
      <c r="B10" s="4" t="s">
        <v>38</v>
      </c>
      <c r="C10" s="13">
        <v>0.05</v>
      </c>
      <c r="D10" s="13">
        <v>1</v>
      </c>
      <c r="E10" s="13">
        <v>1</v>
      </c>
      <c r="F10" s="13">
        <f t="shared" ref="F10:F11" si="3">C10*D10*E10</f>
        <v>0.05</v>
      </c>
      <c r="G10" s="39">
        <f>P36</f>
        <v>0</v>
      </c>
      <c r="H10" s="46">
        <f t="shared" si="0"/>
        <v>0</v>
      </c>
      <c r="I10" s="47"/>
      <c r="J10" s="48"/>
      <c r="K10" s="48"/>
      <c r="L10" s="48">
        <f t="shared" ref="L10:L13" si="4">I10*J10*K10</f>
        <v>0</v>
      </c>
      <c r="M10" s="39">
        <v>150</v>
      </c>
      <c r="N10" s="46">
        <f t="shared" si="2"/>
        <v>0</v>
      </c>
      <c r="O10" s="5">
        <v>0.85</v>
      </c>
      <c r="P10" s="50">
        <f t="shared" si="1"/>
        <v>0</v>
      </c>
    </row>
    <row r="11" spans="1:20" x14ac:dyDescent="0.25">
      <c r="A11" s="23">
        <v>5</v>
      </c>
      <c r="B11" s="4" t="s">
        <v>39</v>
      </c>
      <c r="C11" s="13">
        <v>0.05</v>
      </c>
      <c r="D11" s="13">
        <v>1</v>
      </c>
      <c r="E11" s="13">
        <v>1</v>
      </c>
      <c r="F11" s="13">
        <f t="shared" si="3"/>
        <v>0.05</v>
      </c>
      <c r="G11" s="39">
        <f>P62</f>
        <v>0</v>
      </c>
      <c r="H11" s="46">
        <f t="shared" si="0"/>
        <v>0</v>
      </c>
      <c r="I11" s="47"/>
      <c r="J11" s="48"/>
      <c r="K11" s="48"/>
      <c r="L11" s="48">
        <f t="shared" si="4"/>
        <v>0</v>
      </c>
      <c r="M11" s="39">
        <v>150</v>
      </c>
      <c r="N11" s="46">
        <f t="shared" si="2"/>
        <v>0</v>
      </c>
      <c r="O11" s="5">
        <v>0.85</v>
      </c>
      <c r="P11" s="50">
        <f t="shared" si="1"/>
        <v>0</v>
      </c>
    </row>
    <row r="12" spans="1:20" x14ac:dyDescent="0.25">
      <c r="A12" s="23">
        <v>6</v>
      </c>
      <c r="B12" s="4" t="s">
        <v>36</v>
      </c>
      <c r="C12" s="13"/>
      <c r="D12" s="13"/>
      <c r="E12" s="13"/>
      <c r="F12" s="13">
        <f>C12*D12*E12</f>
        <v>0</v>
      </c>
      <c r="G12" s="39">
        <v>92</v>
      </c>
      <c r="H12" s="46">
        <f t="shared" si="0"/>
        <v>0</v>
      </c>
      <c r="I12" s="47"/>
      <c r="J12" s="48"/>
      <c r="K12" s="48"/>
      <c r="L12" s="48">
        <f t="shared" si="4"/>
        <v>0</v>
      </c>
      <c r="M12" s="39">
        <v>150</v>
      </c>
      <c r="N12" s="46">
        <f t="shared" si="2"/>
        <v>0</v>
      </c>
      <c r="O12" s="5">
        <v>0.85</v>
      </c>
      <c r="P12" s="50">
        <f t="shared" si="1"/>
        <v>0</v>
      </c>
    </row>
    <row r="13" spans="1:20" x14ac:dyDescent="0.25">
      <c r="A13" s="23">
        <v>7</v>
      </c>
      <c r="B13" s="4" t="s">
        <v>50</v>
      </c>
      <c r="C13" s="13">
        <v>1</v>
      </c>
      <c r="D13" s="13">
        <v>1</v>
      </c>
      <c r="E13" s="13">
        <v>1</v>
      </c>
      <c r="F13" s="13">
        <f>C13*D13*E13</f>
        <v>1</v>
      </c>
      <c r="G13" s="39">
        <v>0</v>
      </c>
      <c r="H13" s="46">
        <f t="shared" si="0"/>
        <v>0</v>
      </c>
      <c r="I13" s="47"/>
      <c r="J13" s="48"/>
      <c r="K13" s="48"/>
      <c r="L13" s="48">
        <f t="shared" si="4"/>
        <v>0</v>
      </c>
      <c r="M13" s="39">
        <v>175</v>
      </c>
      <c r="N13" s="46">
        <f t="shared" si="2"/>
        <v>0</v>
      </c>
      <c r="O13" s="5">
        <v>0.85</v>
      </c>
      <c r="P13" s="50">
        <f t="shared" si="1"/>
        <v>0</v>
      </c>
    </row>
    <row r="14" spans="1:20" s="21" customFormat="1" ht="15.75" customHeight="1" thickBot="1" x14ac:dyDescent="0.3">
      <c r="A14" s="157" t="s">
        <v>11</v>
      </c>
      <c r="B14" s="158"/>
      <c r="C14" s="158"/>
      <c r="D14" s="158"/>
      <c r="E14" s="161"/>
      <c r="F14" s="8">
        <f>SUM(F7:F13)</f>
        <v>1.1499999999999999</v>
      </c>
      <c r="G14" s="8"/>
      <c r="H14" s="51">
        <f>SUM(H7:H13)</f>
        <v>0</v>
      </c>
      <c r="I14" s="152"/>
      <c r="J14" s="153"/>
      <c r="K14" s="154"/>
      <c r="L14" s="52">
        <f>SUM(L7:L13)</f>
        <v>0</v>
      </c>
      <c r="M14" s="53"/>
      <c r="N14" s="54">
        <f>SUM(N7:N13)</f>
        <v>0</v>
      </c>
      <c r="O14" s="55"/>
      <c r="P14" s="56">
        <f>SUM(P7:P13)</f>
        <v>0</v>
      </c>
    </row>
    <row r="15" spans="1:20" ht="16.5" thickTop="1" x14ac:dyDescent="0.25">
      <c r="A15" s="155"/>
      <c r="B15" s="155"/>
      <c r="C15" s="155"/>
      <c r="D15" s="155"/>
      <c r="E15" s="155"/>
      <c r="F15" s="155"/>
      <c r="G15" s="155"/>
      <c r="H15" s="155"/>
      <c r="I15" s="156"/>
      <c r="J15" s="156"/>
      <c r="K15" s="156"/>
      <c r="L15" s="156"/>
      <c r="M15" s="156"/>
      <c r="N15" s="156"/>
      <c r="O15" s="155"/>
      <c r="P15" s="156"/>
    </row>
    <row r="16" spans="1:20" ht="16.5" thickBot="1" x14ac:dyDescent="0.3">
      <c r="A16" s="157" t="s">
        <v>12</v>
      </c>
      <c r="B16" s="158"/>
      <c r="C16" s="158"/>
      <c r="D16" s="158"/>
      <c r="E16" s="158"/>
      <c r="F16" s="158"/>
      <c r="G16" s="158"/>
      <c r="H16" s="158"/>
      <c r="I16" s="159"/>
      <c r="J16" s="159"/>
      <c r="K16" s="159"/>
      <c r="L16" s="159"/>
      <c r="M16" s="159"/>
      <c r="N16" s="159"/>
      <c r="O16" s="158"/>
      <c r="P16" s="160"/>
    </row>
    <row r="17" spans="1:23" ht="16.5" thickTop="1" x14ac:dyDescent="0.25">
      <c r="A17" s="26">
        <v>1</v>
      </c>
      <c r="B17" s="31" t="s">
        <v>63</v>
      </c>
      <c r="C17" s="5"/>
      <c r="D17" s="5"/>
      <c r="E17" s="5"/>
      <c r="F17" s="5">
        <f t="shared" ref="F17:F24" si="5">C17*D17*E17</f>
        <v>0</v>
      </c>
      <c r="G17" s="57">
        <v>108</v>
      </c>
      <c r="H17" s="58">
        <f t="shared" ref="H17:H24" si="6">F17*G17</f>
        <v>0</v>
      </c>
      <c r="I17" s="41"/>
      <c r="J17" s="42"/>
      <c r="K17" s="42"/>
      <c r="L17" s="42">
        <f>I17*J17*K17</f>
        <v>0</v>
      </c>
      <c r="M17" s="43">
        <v>195</v>
      </c>
      <c r="N17" s="44">
        <f>L17*M17</f>
        <v>0</v>
      </c>
      <c r="O17" s="5">
        <v>0.85</v>
      </c>
      <c r="P17" s="45">
        <f>H17/O17+N17/O17</f>
        <v>0</v>
      </c>
    </row>
    <row r="18" spans="1:23" x14ac:dyDescent="0.25">
      <c r="A18" s="26">
        <v>2</v>
      </c>
      <c r="B18" s="31" t="s">
        <v>64</v>
      </c>
      <c r="C18" s="5"/>
      <c r="D18" s="5"/>
      <c r="E18" s="5"/>
      <c r="F18" s="5">
        <f t="shared" si="5"/>
        <v>0</v>
      </c>
      <c r="G18" s="57">
        <v>108</v>
      </c>
      <c r="H18" s="58">
        <f t="shared" si="6"/>
        <v>0</v>
      </c>
      <c r="I18" s="59"/>
      <c r="J18" s="60"/>
      <c r="K18" s="60"/>
      <c r="L18" s="60">
        <f t="shared" ref="L18:L24" si="7">I18*J18*K18</f>
        <v>0</v>
      </c>
      <c r="M18" s="57">
        <v>195</v>
      </c>
      <c r="N18" s="61">
        <f t="shared" ref="N18:N24" si="8">L18*M18</f>
        <v>0</v>
      </c>
      <c r="O18" s="5">
        <v>0.85</v>
      </c>
      <c r="P18" s="49">
        <f t="shared" ref="P18:P24" si="9">H18/O18+N18/O18</f>
        <v>0</v>
      </c>
      <c r="U18" s="62"/>
    </row>
    <row r="19" spans="1:23" x14ac:dyDescent="0.25">
      <c r="A19" s="26">
        <v>3</v>
      </c>
      <c r="B19" s="18" t="s">
        <v>65</v>
      </c>
      <c r="C19" s="5"/>
      <c r="D19" s="5"/>
      <c r="E19" s="5"/>
      <c r="F19" s="5">
        <f t="shared" si="5"/>
        <v>0</v>
      </c>
      <c r="G19" s="57">
        <v>108</v>
      </c>
      <c r="H19" s="58">
        <f t="shared" si="6"/>
        <v>0</v>
      </c>
      <c r="I19" s="59"/>
      <c r="J19" s="60"/>
      <c r="K19" s="60"/>
      <c r="L19" s="60">
        <f t="shared" si="7"/>
        <v>0</v>
      </c>
      <c r="M19" s="57">
        <v>195</v>
      </c>
      <c r="N19" s="61">
        <f t="shared" si="8"/>
        <v>0</v>
      </c>
      <c r="O19" s="5">
        <v>0.85</v>
      </c>
      <c r="P19" s="49">
        <f t="shared" si="9"/>
        <v>0</v>
      </c>
      <c r="R19" s="63"/>
      <c r="U19" s="62"/>
    </row>
    <row r="20" spans="1:23" x14ac:dyDescent="0.25">
      <c r="A20" s="26">
        <v>4</v>
      </c>
      <c r="B20" s="18"/>
      <c r="C20" s="5"/>
      <c r="D20" s="5"/>
      <c r="E20" s="5"/>
      <c r="F20" s="5">
        <f t="shared" si="5"/>
        <v>0</v>
      </c>
      <c r="G20" s="57">
        <v>108</v>
      </c>
      <c r="H20" s="58">
        <f t="shared" si="6"/>
        <v>0</v>
      </c>
      <c r="I20" s="59"/>
      <c r="J20" s="60"/>
      <c r="K20" s="60"/>
      <c r="L20" s="60">
        <f t="shared" si="7"/>
        <v>0</v>
      </c>
      <c r="M20" s="57">
        <v>195</v>
      </c>
      <c r="N20" s="61">
        <f t="shared" si="8"/>
        <v>0</v>
      </c>
      <c r="O20" s="5">
        <v>0.85</v>
      </c>
      <c r="P20" s="49">
        <f t="shared" si="9"/>
        <v>0</v>
      </c>
      <c r="U20" s="62"/>
    </row>
    <row r="21" spans="1:23" x14ac:dyDescent="0.25">
      <c r="A21" s="26">
        <v>5</v>
      </c>
      <c r="B21" s="18"/>
      <c r="C21" s="5"/>
      <c r="D21" s="5"/>
      <c r="E21" s="5"/>
      <c r="F21" s="5">
        <f t="shared" si="5"/>
        <v>0</v>
      </c>
      <c r="G21" s="57">
        <v>108</v>
      </c>
      <c r="H21" s="58">
        <f t="shared" si="6"/>
        <v>0</v>
      </c>
      <c r="I21" s="59"/>
      <c r="J21" s="60"/>
      <c r="K21" s="60"/>
      <c r="L21" s="60">
        <f t="shared" si="7"/>
        <v>0</v>
      </c>
      <c r="M21" s="57">
        <v>195</v>
      </c>
      <c r="N21" s="61">
        <f t="shared" si="8"/>
        <v>0</v>
      </c>
      <c r="O21" s="5">
        <v>0.85</v>
      </c>
      <c r="P21" s="49">
        <f t="shared" si="9"/>
        <v>0</v>
      </c>
    </row>
    <row r="22" spans="1:23" x14ac:dyDescent="0.25">
      <c r="A22" s="26">
        <v>6</v>
      </c>
      <c r="B22" s="18"/>
      <c r="C22" s="5"/>
      <c r="D22" s="5"/>
      <c r="E22" s="5"/>
      <c r="F22" s="5">
        <f t="shared" si="5"/>
        <v>0</v>
      </c>
      <c r="G22" s="57">
        <v>108</v>
      </c>
      <c r="H22" s="58">
        <f t="shared" si="6"/>
        <v>0</v>
      </c>
      <c r="I22" s="59"/>
      <c r="J22" s="60"/>
      <c r="K22" s="60"/>
      <c r="L22" s="60">
        <f t="shared" si="7"/>
        <v>0</v>
      </c>
      <c r="M22" s="57">
        <v>195</v>
      </c>
      <c r="N22" s="61">
        <f t="shared" si="8"/>
        <v>0</v>
      </c>
      <c r="O22" s="5">
        <v>0.85</v>
      </c>
      <c r="P22" s="49">
        <f t="shared" si="9"/>
        <v>0</v>
      </c>
    </row>
    <row r="23" spans="1:23" x14ac:dyDescent="0.25">
      <c r="A23" s="26">
        <v>7</v>
      </c>
      <c r="B23" s="18"/>
      <c r="C23" s="5"/>
      <c r="D23" s="5"/>
      <c r="E23" s="5"/>
      <c r="F23" s="5">
        <f t="shared" si="5"/>
        <v>0</v>
      </c>
      <c r="G23" s="57">
        <v>108</v>
      </c>
      <c r="H23" s="58">
        <f t="shared" si="6"/>
        <v>0</v>
      </c>
      <c r="I23" s="59"/>
      <c r="J23" s="60"/>
      <c r="K23" s="60"/>
      <c r="L23" s="60">
        <f t="shared" si="7"/>
        <v>0</v>
      </c>
      <c r="M23" s="57">
        <v>195</v>
      </c>
      <c r="N23" s="61">
        <f t="shared" si="8"/>
        <v>0</v>
      </c>
      <c r="O23" s="5">
        <v>0.85</v>
      </c>
      <c r="P23" s="49">
        <f t="shared" si="9"/>
        <v>0</v>
      </c>
    </row>
    <row r="24" spans="1:23" x14ac:dyDescent="0.25">
      <c r="A24" s="26">
        <v>8</v>
      </c>
      <c r="B24" s="18"/>
      <c r="C24" s="5"/>
      <c r="D24" s="5"/>
      <c r="E24" s="5"/>
      <c r="F24" s="5">
        <f t="shared" si="5"/>
        <v>0</v>
      </c>
      <c r="G24" s="57">
        <v>108</v>
      </c>
      <c r="H24" s="58">
        <f t="shared" si="6"/>
        <v>0</v>
      </c>
      <c r="I24" s="59"/>
      <c r="J24" s="60"/>
      <c r="K24" s="60"/>
      <c r="L24" s="60">
        <f t="shared" si="7"/>
        <v>0</v>
      </c>
      <c r="M24" s="57">
        <v>195</v>
      </c>
      <c r="N24" s="61">
        <f t="shared" si="8"/>
        <v>0</v>
      </c>
      <c r="O24" s="5">
        <v>0.85</v>
      </c>
      <c r="P24" s="49">
        <f t="shared" si="9"/>
        <v>0</v>
      </c>
    </row>
    <row r="25" spans="1:23" ht="15.75" customHeight="1" x14ac:dyDescent="0.25">
      <c r="A25" s="157" t="s">
        <v>25</v>
      </c>
      <c r="B25" s="158"/>
      <c r="C25" s="158"/>
      <c r="D25" s="158"/>
      <c r="E25" s="161"/>
      <c r="F25" s="8">
        <f>SUM(F17:F24)</f>
        <v>0</v>
      </c>
      <c r="G25" s="162"/>
      <c r="H25" s="64">
        <f>SUM(H17:H24)</f>
        <v>0</v>
      </c>
      <c r="I25" s="164"/>
      <c r="J25" s="165"/>
      <c r="K25" s="166"/>
      <c r="L25" s="65">
        <f>SUM(L17:L24)</f>
        <v>0</v>
      </c>
      <c r="M25" s="170"/>
      <c r="N25" s="66">
        <f>SUM(N17:N24)</f>
        <v>0</v>
      </c>
      <c r="O25" s="172"/>
      <c r="P25" s="67">
        <f>SUM(P17:P24)</f>
        <v>0</v>
      </c>
      <c r="S25" s="22"/>
      <c r="T25" s="22"/>
    </row>
    <row r="26" spans="1:23" s="21" customFormat="1" ht="15.75" customHeight="1" thickBot="1" x14ac:dyDescent="0.3">
      <c r="A26" s="157" t="s">
        <v>13</v>
      </c>
      <c r="B26" s="158"/>
      <c r="C26" s="158"/>
      <c r="D26" s="158"/>
      <c r="E26" s="161"/>
      <c r="F26" s="8">
        <f>F14+F25</f>
        <v>1.1499999999999999</v>
      </c>
      <c r="G26" s="163"/>
      <c r="H26" s="64">
        <f>H14+H25</f>
        <v>0</v>
      </c>
      <c r="I26" s="167"/>
      <c r="J26" s="168"/>
      <c r="K26" s="169"/>
      <c r="L26" s="52">
        <f>L14+L25</f>
        <v>0</v>
      </c>
      <c r="M26" s="171"/>
      <c r="N26" s="68">
        <f>N14+N25</f>
        <v>0</v>
      </c>
      <c r="O26" s="173"/>
      <c r="P26" s="56">
        <f>P14+P25</f>
        <v>0</v>
      </c>
      <c r="S26" s="22"/>
      <c r="T26" s="22"/>
    </row>
    <row r="27" spans="1:23" s="21" customFormat="1" ht="34.5" customHeight="1" thickTop="1" thickBot="1" x14ac:dyDescent="0.3">
      <c r="A27" s="147" t="s">
        <v>23</v>
      </c>
      <c r="B27" s="147"/>
      <c r="C27" s="147"/>
      <c r="D27" s="147"/>
      <c r="E27" s="147"/>
      <c r="F27" s="147"/>
      <c r="G27" s="147"/>
      <c r="H27" s="147"/>
      <c r="I27" s="148"/>
      <c r="J27" s="148"/>
      <c r="K27" s="148"/>
      <c r="L27" s="148"/>
      <c r="M27" s="148"/>
      <c r="N27" s="148"/>
      <c r="O27" s="147"/>
      <c r="P27" s="148"/>
      <c r="S27" s="22"/>
      <c r="T27" s="22"/>
      <c r="U27" s="22"/>
      <c r="V27" s="22"/>
      <c r="W27" s="22"/>
    </row>
    <row r="28" spans="1:23" s="21" customFormat="1" ht="19.5" thickBot="1" x14ac:dyDescent="0.3">
      <c r="A28" s="69" t="s">
        <v>9</v>
      </c>
      <c r="B28" s="69" t="s">
        <v>0</v>
      </c>
      <c r="C28" s="133" t="s">
        <v>28</v>
      </c>
      <c r="D28" s="134"/>
      <c r="E28" s="133" t="s">
        <v>34</v>
      </c>
      <c r="F28" s="134"/>
      <c r="G28" s="135" t="s">
        <v>33</v>
      </c>
      <c r="H28" s="136"/>
      <c r="I28" s="135" t="s">
        <v>29</v>
      </c>
      <c r="J28" s="136"/>
      <c r="K28" s="135" t="s">
        <v>30</v>
      </c>
      <c r="L28" s="136"/>
      <c r="M28" s="135" t="s">
        <v>3</v>
      </c>
      <c r="N28" s="136"/>
      <c r="O28" s="35" t="s">
        <v>19</v>
      </c>
      <c r="P28" s="34" t="s">
        <v>4</v>
      </c>
      <c r="S28" s="22"/>
      <c r="T28" s="22"/>
      <c r="U28" s="22"/>
      <c r="V28" s="22"/>
      <c r="W28" s="22"/>
    </row>
    <row r="29" spans="1:23" s="21" customFormat="1" ht="16.5" thickTop="1" x14ac:dyDescent="0.25">
      <c r="A29" s="13">
        <v>1</v>
      </c>
      <c r="B29" s="14" t="s">
        <v>66</v>
      </c>
      <c r="C29" s="143"/>
      <c r="D29" s="144"/>
      <c r="E29" s="143"/>
      <c r="F29" s="144"/>
      <c r="G29" s="143"/>
      <c r="H29" s="144"/>
      <c r="I29" s="122">
        <f>C29*E29*G29</f>
        <v>0</v>
      </c>
      <c r="J29" s="123"/>
      <c r="K29" s="145"/>
      <c r="L29" s="146"/>
      <c r="M29" s="126">
        <f>K29*I29</f>
        <v>0</v>
      </c>
      <c r="N29" s="127"/>
      <c r="O29" s="5">
        <v>0.85</v>
      </c>
      <c r="P29" s="45">
        <f>M29/O29</f>
        <v>0</v>
      </c>
      <c r="S29" s="22"/>
      <c r="T29" s="22"/>
      <c r="U29" s="22"/>
      <c r="V29" s="22"/>
      <c r="W29" s="22"/>
    </row>
    <row r="30" spans="1:23" s="21" customFormat="1" x14ac:dyDescent="0.25">
      <c r="A30" s="5">
        <v>2</v>
      </c>
      <c r="B30" s="18" t="s">
        <v>67</v>
      </c>
      <c r="C30" s="117"/>
      <c r="D30" s="118"/>
      <c r="E30" s="117"/>
      <c r="F30" s="118"/>
      <c r="G30" s="117"/>
      <c r="H30" s="118"/>
      <c r="I30" s="117">
        <f t="shared" ref="I30:I35" si="10">C30*E30*G30</f>
        <v>0</v>
      </c>
      <c r="J30" s="118"/>
      <c r="K30" s="119"/>
      <c r="L30" s="120"/>
      <c r="M30" s="141">
        <f>K30*I30</f>
        <v>0</v>
      </c>
      <c r="N30" s="142"/>
      <c r="O30" s="5">
        <v>0.85</v>
      </c>
      <c r="P30" s="50">
        <f t="shared" ref="P30:P35" si="11">M30/O30</f>
        <v>0</v>
      </c>
      <c r="S30" s="22"/>
      <c r="T30" s="22"/>
      <c r="U30" s="22"/>
      <c r="V30" s="22"/>
      <c r="W30" s="22"/>
    </row>
    <row r="31" spans="1:23" s="21" customFormat="1" x14ac:dyDescent="0.25">
      <c r="A31" s="5">
        <v>3</v>
      </c>
      <c r="B31" s="18" t="s">
        <v>68</v>
      </c>
      <c r="C31" s="117"/>
      <c r="D31" s="118"/>
      <c r="E31" s="117"/>
      <c r="F31" s="118"/>
      <c r="G31" s="117"/>
      <c r="H31" s="118"/>
      <c r="I31" s="117">
        <f t="shared" si="10"/>
        <v>0</v>
      </c>
      <c r="J31" s="118"/>
      <c r="K31" s="119"/>
      <c r="L31" s="120"/>
      <c r="M31" s="141">
        <f t="shared" ref="M31:M35" si="12">K31*I31</f>
        <v>0</v>
      </c>
      <c r="N31" s="142"/>
      <c r="O31" s="5">
        <v>0.85</v>
      </c>
      <c r="P31" s="50">
        <f t="shared" si="11"/>
        <v>0</v>
      </c>
      <c r="S31" s="22"/>
      <c r="T31" s="22"/>
      <c r="U31" s="22"/>
      <c r="V31" s="22"/>
      <c r="W31" s="22"/>
    </row>
    <row r="32" spans="1:23" s="21" customFormat="1" x14ac:dyDescent="0.25">
      <c r="A32" s="5">
        <v>4</v>
      </c>
      <c r="B32" s="18" t="s">
        <v>69</v>
      </c>
      <c r="C32" s="117"/>
      <c r="D32" s="118"/>
      <c r="E32" s="117"/>
      <c r="F32" s="118"/>
      <c r="G32" s="117"/>
      <c r="H32" s="118"/>
      <c r="I32" s="117">
        <f t="shared" si="10"/>
        <v>0</v>
      </c>
      <c r="J32" s="118"/>
      <c r="K32" s="119"/>
      <c r="L32" s="120"/>
      <c r="M32" s="141">
        <f t="shared" si="12"/>
        <v>0</v>
      </c>
      <c r="N32" s="142"/>
      <c r="O32" s="5">
        <v>0.85</v>
      </c>
      <c r="P32" s="50">
        <f t="shared" si="11"/>
        <v>0</v>
      </c>
      <c r="S32" s="22"/>
      <c r="T32" s="22"/>
      <c r="U32" s="22"/>
      <c r="V32" s="22"/>
      <c r="W32" s="22"/>
    </row>
    <row r="33" spans="1:23" s="21" customFormat="1" x14ac:dyDescent="0.25">
      <c r="A33" s="5">
        <v>5</v>
      </c>
      <c r="B33" s="18" t="s">
        <v>70</v>
      </c>
      <c r="C33" s="117"/>
      <c r="D33" s="118"/>
      <c r="E33" s="117"/>
      <c r="F33" s="118"/>
      <c r="G33" s="117"/>
      <c r="H33" s="118"/>
      <c r="I33" s="117">
        <f t="shared" si="10"/>
        <v>0</v>
      </c>
      <c r="J33" s="118"/>
      <c r="K33" s="119"/>
      <c r="L33" s="120"/>
      <c r="M33" s="141">
        <f t="shared" si="12"/>
        <v>0</v>
      </c>
      <c r="N33" s="142"/>
      <c r="O33" s="5">
        <v>0.85</v>
      </c>
      <c r="P33" s="50">
        <f t="shared" si="11"/>
        <v>0</v>
      </c>
      <c r="S33" s="22"/>
      <c r="T33" s="22"/>
      <c r="U33" s="22"/>
      <c r="V33" s="22"/>
      <c r="W33" s="22"/>
    </row>
    <row r="34" spans="1:23" s="21" customFormat="1" x14ac:dyDescent="0.25">
      <c r="A34" s="5"/>
      <c r="B34" s="18"/>
      <c r="C34" s="117"/>
      <c r="D34" s="118"/>
      <c r="E34" s="117"/>
      <c r="F34" s="118"/>
      <c r="G34" s="117"/>
      <c r="H34" s="118"/>
      <c r="I34" s="117">
        <f t="shared" si="10"/>
        <v>0</v>
      </c>
      <c r="J34" s="118"/>
      <c r="K34" s="119"/>
      <c r="L34" s="120"/>
      <c r="M34" s="141">
        <f t="shared" si="12"/>
        <v>0</v>
      </c>
      <c r="N34" s="142"/>
      <c r="O34" s="5">
        <v>0.85</v>
      </c>
      <c r="P34" s="50">
        <f t="shared" si="11"/>
        <v>0</v>
      </c>
      <c r="S34" s="22"/>
      <c r="T34" s="22"/>
      <c r="U34" s="22"/>
      <c r="V34" s="22"/>
      <c r="W34" s="22"/>
    </row>
    <row r="35" spans="1:23" s="21" customFormat="1" x14ac:dyDescent="0.25">
      <c r="A35" s="5"/>
      <c r="B35" s="18"/>
      <c r="C35" s="117"/>
      <c r="D35" s="118"/>
      <c r="E35" s="117"/>
      <c r="F35" s="118"/>
      <c r="G35" s="117"/>
      <c r="H35" s="118"/>
      <c r="I35" s="137">
        <f t="shared" si="10"/>
        <v>0</v>
      </c>
      <c r="J35" s="138"/>
      <c r="K35" s="119"/>
      <c r="L35" s="120"/>
      <c r="M35" s="139">
        <f t="shared" si="12"/>
        <v>0</v>
      </c>
      <c r="N35" s="140"/>
      <c r="O35" s="5">
        <v>0.85</v>
      </c>
      <c r="P35" s="50">
        <f t="shared" si="11"/>
        <v>0</v>
      </c>
      <c r="S35" s="22"/>
      <c r="T35" s="22"/>
      <c r="U35" s="22"/>
      <c r="V35" s="22"/>
      <c r="W35" s="22"/>
    </row>
    <row r="36" spans="1:23" s="21" customFormat="1" ht="15.75" customHeight="1" thickBot="1" x14ac:dyDescent="0.3">
      <c r="A36" s="128" t="s">
        <v>24</v>
      </c>
      <c r="B36" s="129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56">
        <f>SUM(P29:P35)</f>
        <v>0</v>
      </c>
      <c r="S36" s="22"/>
      <c r="T36" s="22"/>
      <c r="U36" s="22"/>
      <c r="V36" s="22"/>
      <c r="W36" s="22"/>
    </row>
    <row r="37" spans="1:23" ht="34.5" customHeight="1" thickBot="1" x14ac:dyDescent="0.3">
      <c r="A37" s="130" t="s">
        <v>17</v>
      </c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2"/>
      <c r="S37" s="22"/>
      <c r="T37" s="22"/>
      <c r="U37" s="22"/>
      <c r="V37" s="22"/>
      <c r="W37" s="22"/>
    </row>
    <row r="38" spans="1:23" ht="19.5" thickBot="1" x14ac:dyDescent="0.3">
      <c r="A38" s="69" t="s">
        <v>9</v>
      </c>
      <c r="B38" s="69" t="s">
        <v>31</v>
      </c>
      <c r="C38" s="133" t="s">
        <v>28</v>
      </c>
      <c r="D38" s="134"/>
      <c r="E38" s="133" t="s">
        <v>71</v>
      </c>
      <c r="F38" s="134"/>
      <c r="G38" s="135" t="s">
        <v>33</v>
      </c>
      <c r="H38" s="136"/>
      <c r="I38" s="135" t="s">
        <v>29</v>
      </c>
      <c r="J38" s="136"/>
      <c r="K38" s="135" t="s">
        <v>30</v>
      </c>
      <c r="L38" s="136"/>
      <c r="M38" s="135" t="s">
        <v>3</v>
      </c>
      <c r="N38" s="136"/>
      <c r="O38" s="35" t="s">
        <v>19</v>
      </c>
      <c r="P38" s="34" t="s">
        <v>4</v>
      </c>
      <c r="S38" s="22"/>
      <c r="T38" s="22"/>
      <c r="U38" s="22"/>
      <c r="V38" s="22"/>
      <c r="W38" s="22"/>
    </row>
    <row r="39" spans="1:23" ht="16.5" thickTop="1" x14ac:dyDescent="0.25">
      <c r="A39" s="13">
        <v>1</v>
      </c>
      <c r="B39" s="14" t="s">
        <v>72</v>
      </c>
      <c r="C39" s="122"/>
      <c r="D39" s="123"/>
      <c r="E39" s="122"/>
      <c r="F39" s="123"/>
      <c r="G39" s="122"/>
      <c r="H39" s="123"/>
      <c r="I39" s="122">
        <f>G39*E39*C39</f>
        <v>0</v>
      </c>
      <c r="J39" s="123"/>
      <c r="K39" s="124"/>
      <c r="L39" s="125"/>
      <c r="M39" s="126">
        <f>K39*I39</f>
        <v>0</v>
      </c>
      <c r="N39" s="127"/>
      <c r="O39" s="5">
        <v>0.85</v>
      </c>
      <c r="P39" s="70">
        <f>M39/O39</f>
        <v>0</v>
      </c>
      <c r="S39" s="22"/>
      <c r="T39" s="22"/>
      <c r="U39" s="22"/>
      <c r="V39" s="22"/>
      <c r="W39" s="22"/>
    </row>
    <row r="40" spans="1:23" s="22" customFormat="1" x14ac:dyDescent="0.25">
      <c r="A40" s="13">
        <v>2</v>
      </c>
      <c r="B40" s="18" t="s">
        <v>73</v>
      </c>
      <c r="C40" s="117"/>
      <c r="D40" s="118"/>
      <c r="E40" s="117"/>
      <c r="F40" s="118"/>
      <c r="G40" s="117"/>
      <c r="H40" s="118"/>
      <c r="I40" s="117">
        <f t="shared" ref="I40:I61" si="13">G40*E40*C40</f>
        <v>0</v>
      </c>
      <c r="J40" s="118"/>
      <c r="K40" s="119"/>
      <c r="L40" s="120"/>
      <c r="M40" s="141">
        <f t="shared" ref="M40:M57" si="14">K40*I40</f>
        <v>0</v>
      </c>
      <c r="N40" s="142"/>
      <c r="O40" s="5">
        <v>0.85</v>
      </c>
      <c r="P40" s="71">
        <f t="shared" ref="P40:P61" si="15">M40/O40</f>
        <v>0</v>
      </c>
    </row>
    <row r="41" spans="1:23" s="22" customFormat="1" x14ac:dyDescent="0.25">
      <c r="A41" s="13">
        <v>3</v>
      </c>
      <c r="B41" s="18"/>
      <c r="C41" s="117"/>
      <c r="D41" s="118"/>
      <c r="E41" s="117"/>
      <c r="F41" s="118"/>
      <c r="G41" s="117"/>
      <c r="H41" s="118"/>
      <c r="I41" s="117">
        <f t="shared" si="13"/>
        <v>0</v>
      </c>
      <c r="J41" s="118"/>
      <c r="K41" s="119"/>
      <c r="L41" s="120"/>
      <c r="M41" s="141">
        <f t="shared" si="14"/>
        <v>0</v>
      </c>
      <c r="N41" s="142"/>
      <c r="O41" s="5">
        <v>0.85</v>
      </c>
      <c r="P41" s="71">
        <f t="shared" si="15"/>
        <v>0</v>
      </c>
    </row>
    <row r="42" spans="1:23" s="22" customFormat="1" x14ac:dyDescent="0.25">
      <c r="A42" s="13">
        <v>4</v>
      </c>
      <c r="B42" s="18"/>
      <c r="C42" s="117"/>
      <c r="D42" s="118"/>
      <c r="E42" s="117"/>
      <c r="F42" s="118"/>
      <c r="G42" s="117"/>
      <c r="H42" s="118"/>
      <c r="I42" s="117">
        <f t="shared" si="13"/>
        <v>0</v>
      </c>
      <c r="J42" s="118"/>
      <c r="K42" s="119"/>
      <c r="L42" s="120"/>
      <c r="M42" s="141">
        <f t="shared" si="14"/>
        <v>0</v>
      </c>
      <c r="N42" s="142"/>
      <c r="O42" s="5">
        <v>0.85</v>
      </c>
      <c r="P42" s="71">
        <f t="shared" si="15"/>
        <v>0</v>
      </c>
    </row>
    <row r="43" spans="1:23" s="22" customFormat="1" x14ac:dyDescent="0.25">
      <c r="A43" s="13">
        <v>5</v>
      </c>
      <c r="B43" s="18"/>
      <c r="C43" s="117"/>
      <c r="D43" s="118"/>
      <c r="E43" s="117"/>
      <c r="F43" s="118"/>
      <c r="G43" s="117"/>
      <c r="H43" s="118"/>
      <c r="I43" s="117">
        <f t="shared" si="13"/>
        <v>0</v>
      </c>
      <c r="J43" s="118"/>
      <c r="K43" s="119"/>
      <c r="L43" s="120"/>
      <c r="M43" s="141">
        <f t="shared" si="14"/>
        <v>0</v>
      </c>
      <c r="N43" s="142"/>
      <c r="O43" s="5">
        <v>0.85</v>
      </c>
      <c r="P43" s="71">
        <f t="shared" si="15"/>
        <v>0</v>
      </c>
    </row>
    <row r="44" spans="1:23" s="22" customFormat="1" x14ac:dyDescent="0.25">
      <c r="A44" s="13">
        <v>6</v>
      </c>
      <c r="B44" s="18"/>
      <c r="C44" s="117"/>
      <c r="D44" s="118"/>
      <c r="E44" s="117"/>
      <c r="F44" s="118"/>
      <c r="G44" s="117"/>
      <c r="H44" s="118"/>
      <c r="I44" s="117">
        <f t="shared" si="13"/>
        <v>0</v>
      </c>
      <c r="J44" s="118"/>
      <c r="K44" s="119"/>
      <c r="L44" s="120"/>
      <c r="M44" s="141">
        <f t="shared" si="14"/>
        <v>0</v>
      </c>
      <c r="N44" s="142"/>
      <c r="O44" s="5">
        <v>0.85</v>
      </c>
      <c r="P44" s="71">
        <f t="shared" si="15"/>
        <v>0</v>
      </c>
    </row>
    <row r="45" spans="1:23" s="22" customFormat="1" x14ac:dyDescent="0.25">
      <c r="A45" s="13">
        <v>7</v>
      </c>
      <c r="B45" s="18"/>
      <c r="C45" s="117"/>
      <c r="D45" s="118"/>
      <c r="E45" s="117"/>
      <c r="F45" s="118"/>
      <c r="G45" s="117"/>
      <c r="H45" s="118"/>
      <c r="I45" s="117">
        <f t="shared" si="13"/>
        <v>0</v>
      </c>
      <c r="J45" s="118"/>
      <c r="K45" s="119"/>
      <c r="L45" s="120"/>
      <c r="M45" s="141">
        <f t="shared" si="14"/>
        <v>0</v>
      </c>
      <c r="N45" s="142"/>
      <c r="O45" s="5">
        <v>0.85</v>
      </c>
      <c r="P45" s="71">
        <f t="shared" si="15"/>
        <v>0</v>
      </c>
    </row>
    <row r="46" spans="1:23" s="22" customFormat="1" x14ac:dyDescent="0.25">
      <c r="A46" s="13">
        <v>8</v>
      </c>
      <c r="B46" s="18"/>
      <c r="C46" s="117"/>
      <c r="D46" s="118"/>
      <c r="E46" s="117"/>
      <c r="F46" s="118"/>
      <c r="G46" s="117"/>
      <c r="H46" s="118"/>
      <c r="I46" s="117">
        <f t="shared" si="13"/>
        <v>0</v>
      </c>
      <c r="J46" s="118"/>
      <c r="K46" s="119"/>
      <c r="L46" s="120"/>
      <c r="M46" s="141">
        <f t="shared" si="14"/>
        <v>0</v>
      </c>
      <c r="N46" s="142"/>
      <c r="O46" s="5">
        <v>0.85</v>
      </c>
      <c r="P46" s="71">
        <f t="shared" si="15"/>
        <v>0</v>
      </c>
    </row>
    <row r="47" spans="1:23" s="22" customFormat="1" x14ac:dyDescent="0.25">
      <c r="A47" s="13">
        <v>9</v>
      </c>
      <c r="B47" s="18"/>
      <c r="C47" s="117"/>
      <c r="D47" s="118"/>
      <c r="E47" s="117"/>
      <c r="F47" s="118"/>
      <c r="G47" s="117"/>
      <c r="H47" s="118"/>
      <c r="I47" s="117">
        <f t="shared" si="13"/>
        <v>0</v>
      </c>
      <c r="J47" s="118"/>
      <c r="K47" s="119"/>
      <c r="L47" s="120"/>
      <c r="M47" s="141">
        <f t="shared" si="14"/>
        <v>0</v>
      </c>
      <c r="N47" s="142"/>
      <c r="O47" s="5">
        <v>0.85</v>
      </c>
      <c r="P47" s="71">
        <f t="shared" si="15"/>
        <v>0</v>
      </c>
    </row>
    <row r="48" spans="1:23" s="22" customFormat="1" x14ac:dyDescent="0.25">
      <c r="A48" s="13">
        <v>10</v>
      </c>
      <c r="B48" s="18"/>
      <c r="C48" s="117"/>
      <c r="D48" s="118"/>
      <c r="E48" s="117"/>
      <c r="F48" s="118"/>
      <c r="G48" s="117"/>
      <c r="H48" s="118"/>
      <c r="I48" s="117">
        <f t="shared" si="13"/>
        <v>0</v>
      </c>
      <c r="J48" s="118"/>
      <c r="K48" s="119"/>
      <c r="L48" s="120"/>
      <c r="M48" s="141">
        <f t="shared" si="14"/>
        <v>0</v>
      </c>
      <c r="N48" s="142"/>
      <c r="O48" s="5">
        <v>0.85</v>
      </c>
      <c r="P48" s="71">
        <f t="shared" si="15"/>
        <v>0</v>
      </c>
    </row>
    <row r="49" spans="1:23" s="22" customFormat="1" x14ac:dyDescent="0.25">
      <c r="A49" s="13">
        <v>11</v>
      </c>
      <c r="B49" s="18"/>
      <c r="C49" s="117"/>
      <c r="D49" s="118"/>
      <c r="E49" s="117"/>
      <c r="F49" s="118"/>
      <c r="G49" s="117"/>
      <c r="H49" s="118"/>
      <c r="I49" s="117">
        <f t="shared" si="13"/>
        <v>0</v>
      </c>
      <c r="J49" s="118"/>
      <c r="K49" s="119"/>
      <c r="L49" s="120"/>
      <c r="M49" s="141">
        <f t="shared" si="14"/>
        <v>0</v>
      </c>
      <c r="N49" s="142"/>
      <c r="O49" s="5">
        <v>0.85</v>
      </c>
      <c r="P49" s="71">
        <f t="shared" si="15"/>
        <v>0</v>
      </c>
    </row>
    <row r="50" spans="1:23" s="22" customFormat="1" x14ac:dyDescent="0.25">
      <c r="A50" s="13">
        <v>12</v>
      </c>
      <c r="B50" s="18"/>
      <c r="C50" s="117"/>
      <c r="D50" s="118"/>
      <c r="E50" s="117"/>
      <c r="F50" s="118"/>
      <c r="G50" s="117"/>
      <c r="H50" s="118"/>
      <c r="I50" s="117">
        <f t="shared" si="13"/>
        <v>0</v>
      </c>
      <c r="J50" s="118"/>
      <c r="K50" s="119"/>
      <c r="L50" s="120"/>
      <c r="M50" s="141">
        <f t="shared" si="14"/>
        <v>0</v>
      </c>
      <c r="N50" s="142"/>
      <c r="O50" s="5">
        <v>0.85</v>
      </c>
      <c r="P50" s="71">
        <f t="shared" si="15"/>
        <v>0</v>
      </c>
    </row>
    <row r="51" spans="1:23" s="22" customFormat="1" x14ac:dyDescent="0.25">
      <c r="A51" s="13">
        <v>13</v>
      </c>
      <c r="B51" s="18" t="s">
        <v>74</v>
      </c>
      <c r="C51" s="117"/>
      <c r="D51" s="118"/>
      <c r="E51" s="117"/>
      <c r="F51" s="118"/>
      <c r="G51" s="117"/>
      <c r="H51" s="118"/>
      <c r="I51" s="117">
        <f t="shared" si="13"/>
        <v>0</v>
      </c>
      <c r="J51" s="118"/>
      <c r="K51" s="119"/>
      <c r="L51" s="120"/>
      <c r="M51" s="141">
        <f t="shared" si="14"/>
        <v>0</v>
      </c>
      <c r="N51" s="142"/>
      <c r="O51" s="5">
        <v>0.85</v>
      </c>
      <c r="P51" s="71">
        <f t="shared" si="15"/>
        <v>0</v>
      </c>
    </row>
    <row r="52" spans="1:23" s="22" customFormat="1" x14ac:dyDescent="0.25">
      <c r="A52" s="13">
        <v>14</v>
      </c>
      <c r="B52" s="18" t="s">
        <v>75</v>
      </c>
      <c r="C52" s="117"/>
      <c r="D52" s="118"/>
      <c r="E52" s="117"/>
      <c r="F52" s="118"/>
      <c r="G52" s="117"/>
      <c r="H52" s="118"/>
      <c r="I52" s="117">
        <f t="shared" si="13"/>
        <v>0</v>
      </c>
      <c r="J52" s="118"/>
      <c r="K52" s="119"/>
      <c r="L52" s="120"/>
      <c r="M52" s="141">
        <f t="shared" si="14"/>
        <v>0</v>
      </c>
      <c r="N52" s="142"/>
      <c r="O52" s="5">
        <v>0.85</v>
      </c>
      <c r="P52" s="71">
        <f t="shared" si="15"/>
        <v>0</v>
      </c>
    </row>
    <row r="53" spans="1:23" s="22" customFormat="1" x14ac:dyDescent="0.25">
      <c r="A53" s="13">
        <v>15</v>
      </c>
      <c r="B53" s="72" t="s">
        <v>76</v>
      </c>
      <c r="C53" s="117"/>
      <c r="D53" s="118"/>
      <c r="E53" s="117"/>
      <c r="F53" s="118"/>
      <c r="G53" s="117"/>
      <c r="H53" s="118"/>
      <c r="I53" s="117">
        <f t="shared" si="13"/>
        <v>0</v>
      </c>
      <c r="J53" s="118"/>
      <c r="K53" s="119"/>
      <c r="L53" s="120"/>
      <c r="M53" s="141">
        <f t="shared" si="14"/>
        <v>0</v>
      </c>
      <c r="N53" s="142"/>
      <c r="O53" s="5">
        <v>0.85</v>
      </c>
      <c r="P53" s="71">
        <f>M53/O53</f>
        <v>0</v>
      </c>
    </row>
    <row r="54" spans="1:23" s="22" customFormat="1" x14ac:dyDescent="0.25">
      <c r="A54" s="13">
        <v>16</v>
      </c>
      <c r="B54" s="72" t="s">
        <v>77</v>
      </c>
      <c r="C54" s="117"/>
      <c r="D54" s="118"/>
      <c r="E54" s="117"/>
      <c r="F54" s="118"/>
      <c r="G54" s="117"/>
      <c r="H54" s="118"/>
      <c r="I54" s="117">
        <f t="shared" si="13"/>
        <v>0</v>
      </c>
      <c r="J54" s="118"/>
      <c r="K54" s="119"/>
      <c r="L54" s="120"/>
      <c r="M54" s="141">
        <f t="shared" si="14"/>
        <v>0</v>
      </c>
      <c r="N54" s="142"/>
      <c r="O54" s="5">
        <v>0.85</v>
      </c>
      <c r="P54" s="71">
        <f t="shared" si="15"/>
        <v>0</v>
      </c>
    </row>
    <row r="55" spans="1:23" s="22" customFormat="1" x14ac:dyDescent="0.25">
      <c r="A55" s="13">
        <v>17</v>
      </c>
      <c r="B55" s="72" t="s">
        <v>78</v>
      </c>
      <c r="C55" s="117"/>
      <c r="D55" s="118"/>
      <c r="E55" s="117"/>
      <c r="F55" s="118"/>
      <c r="G55" s="117"/>
      <c r="H55" s="118"/>
      <c r="I55" s="117">
        <f t="shared" si="13"/>
        <v>0</v>
      </c>
      <c r="J55" s="118"/>
      <c r="K55" s="119"/>
      <c r="L55" s="120"/>
      <c r="M55" s="141">
        <f t="shared" si="14"/>
        <v>0</v>
      </c>
      <c r="N55" s="142"/>
      <c r="O55" s="5">
        <v>0.85</v>
      </c>
      <c r="P55" s="71">
        <f t="shared" si="15"/>
        <v>0</v>
      </c>
    </row>
    <row r="56" spans="1:23" s="22" customFormat="1" x14ac:dyDescent="0.25">
      <c r="A56" s="13">
        <v>18</v>
      </c>
      <c r="B56" s="72" t="s">
        <v>79</v>
      </c>
      <c r="C56" s="117"/>
      <c r="D56" s="118"/>
      <c r="E56" s="117"/>
      <c r="F56" s="118"/>
      <c r="G56" s="117"/>
      <c r="H56" s="118"/>
      <c r="I56" s="117">
        <f t="shared" si="13"/>
        <v>0</v>
      </c>
      <c r="J56" s="118"/>
      <c r="K56" s="119"/>
      <c r="L56" s="120"/>
      <c r="M56" s="141">
        <f t="shared" si="14"/>
        <v>0</v>
      </c>
      <c r="N56" s="142"/>
      <c r="O56" s="5">
        <v>0.85</v>
      </c>
      <c r="P56" s="71">
        <f t="shared" si="15"/>
        <v>0</v>
      </c>
    </row>
    <row r="57" spans="1:23" s="22" customFormat="1" x14ac:dyDescent="0.25">
      <c r="A57" s="13">
        <v>19</v>
      </c>
      <c r="B57" s="72" t="s">
        <v>80</v>
      </c>
      <c r="C57" s="117"/>
      <c r="D57" s="118"/>
      <c r="E57" s="117"/>
      <c r="F57" s="118"/>
      <c r="G57" s="117"/>
      <c r="H57" s="118"/>
      <c r="I57" s="117">
        <f t="shared" si="13"/>
        <v>0</v>
      </c>
      <c r="J57" s="118"/>
      <c r="K57" s="119"/>
      <c r="L57" s="120"/>
      <c r="M57" s="141">
        <f t="shared" si="14"/>
        <v>0</v>
      </c>
      <c r="N57" s="142"/>
      <c r="O57" s="5">
        <v>0.85</v>
      </c>
      <c r="P57" s="71">
        <f t="shared" si="15"/>
        <v>0</v>
      </c>
    </row>
    <row r="58" spans="1:23" s="22" customFormat="1" ht="31.5" x14ac:dyDescent="0.25">
      <c r="A58" s="13">
        <v>20</v>
      </c>
      <c r="B58" s="72" t="s">
        <v>81</v>
      </c>
      <c r="C58" s="117"/>
      <c r="D58" s="118"/>
      <c r="E58" s="117"/>
      <c r="F58" s="118"/>
      <c r="G58" s="117"/>
      <c r="H58" s="118"/>
      <c r="I58" s="117">
        <f t="shared" si="13"/>
        <v>0</v>
      </c>
      <c r="J58" s="118"/>
      <c r="K58" s="119"/>
      <c r="L58" s="120"/>
      <c r="M58" s="141">
        <f>K58*I58</f>
        <v>0</v>
      </c>
      <c r="N58" s="142"/>
      <c r="O58" s="5">
        <v>0.85</v>
      </c>
      <c r="P58" s="71">
        <f t="shared" si="15"/>
        <v>0</v>
      </c>
    </row>
    <row r="59" spans="1:23" s="22" customFormat="1" x14ac:dyDescent="0.25">
      <c r="A59" s="13">
        <v>27</v>
      </c>
      <c r="B59" s="72" t="s">
        <v>37</v>
      </c>
      <c r="C59" s="117"/>
      <c r="D59" s="118"/>
      <c r="E59" s="117"/>
      <c r="F59" s="118"/>
      <c r="G59" s="117"/>
      <c r="H59" s="118"/>
      <c r="I59" s="117">
        <f t="shared" si="13"/>
        <v>0</v>
      </c>
      <c r="J59" s="118"/>
      <c r="K59" s="119"/>
      <c r="L59" s="120"/>
      <c r="M59" s="121">
        <f>K59*I59</f>
        <v>0</v>
      </c>
      <c r="N59" s="121"/>
      <c r="O59" s="5">
        <v>0.85</v>
      </c>
      <c r="P59" s="71">
        <f>M59/O59</f>
        <v>0</v>
      </c>
    </row>
    <row r="60" spans="1:23" x14ac:dyDescent="0.25">
      <c r="A60" s="13">
        <v>28</v>
      </c>
      <c r="B60" s="18"/>
      <c r="C60" s="117"/>
      <c r="D60" s="118"/>
      <c r="E60" s="117"/>
      <c r="F60" s="118"/>
      <c r="G60" s="117"/>
      <c r="H60" s="118"/>
      <c r="I60" s="117">
        <f t="shared" si="13"/>
        <v>0</v>
      </c>
      <c r="J60" s="118"/>
      <c r="K60" s="119"/>
      <c r="L60" s="120"/>
      <c r="M60" s="121">
        <f t="shared" ref="M60:M61" si="16">K60*I60</f>
        <v>0</v>
      </c>
      <c r="N60" s="121"/>
      <c r="O60" s="5">
        <v>0.85</v>
      </c>
      <c r="P60" s="71">
        <f>M60/O60</f>
        <v>0</v>
      </c>
      <c r="S60" s="22"/>
      <c r="T60" s="22"/>
      <c r="U60" s="22"/>
      <c r="V60" s="22"/>
      <c r="W60" s="22"/>
    </row>
    <row r="61" spans="1:23" x14ac:dyDescent="0.25">
      <c r="A61" s="13">
        <v>29</v>
      </c>
      <c r="B61" s="4"/>
      <c r="C61" s="117"/>
      <c r="D61" s="118"/>
      <c r="E61" s="117"/>
      <c r="F61" s="118"/>
      <c r="G61" s="117"/>
      <c r="H61" s="118"/>
      <c r="I61" s="117">
        <f t="shared" si="13"/>
        <v>0</v>
      </c>
      <c r="J61" s="118"/>
      <c r="K61" s="119"/>
      <c r="L61" s="120"/>
      <c r="M61" s="121">
        <f t="shared" si="16"/>
        <v>0</v>
      </c>
      <c r="N61" s="121"/>
      <c r="O61" s="5">
        <v>0.85</v>
      </c>
      <c r="P61" s="71">
        <f t="shared" si="15"/>
        <v>0</v>
      </c>
      <c r="S61" s="22"/>
      <c r="T61" s="73"/>
      <c r="U61" s="22"/>
      <c r="V61" s="22"/>
      <c r="W61" s="22"/>
    </row>
    <row r="62" spans="1:23" s="21" customFormat="1" ht="16.5" thickBot="1" x14ac:dyDescent="0.3">
      <c r="A62" s="109" t="s">
        <v>16</v>
      </c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74">
        <f>SUM(P39:P61)</f>
        <v>0</v>
      </c>
      <c r="S62" s="22"/>
      <c r="T62" s="22"/>
      <c r="U62" s="22"/>
      <c r="V62" s="22"/>
      <c r="W62" s="22"/>
    </row>
    <row r="63" spans="1:23" ht="16.5" thickTop="1" x14ac:dyDescent="0.25">
      <c r="A63" s="111"/>
      <c r="B63" s="112"/>
      <c r="C63" s="112"/>
      <c r="D63" s="112"/>
      <c r="E63" s="112"/>
      <c r="F63" s="112"/>
      <c r="G63" s="112"/>
      <c r="H63" s="112"/>
      <c r="I63" s="112"/>
      <c r="J63" s="112"/>
      <c r="K63" s="112"/>
      <c r="L63" s="112"/>
      <c r="M63" s="112"/>
      <c r="N63" s="112"/>
      <c r="O63" s="112"/>
      <c r="P63" s="113"/>
      <c r="S63" s="22"/>
      <c r="T63" s="22"/>
      <c r="U63" s="22"/>
      <c r="V63" s="22"/>
      <c r="W63" s="22"/>
    </row>
    <row r="64" spans="1:23" x14ac:dyDescent="0.25">
      <c r="A64" s="114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6"/>
      <c r="S64" s="22"/>
      <c r="T64" s="22"/>
      <c r="U64" s="22"/>
      <c r="V64" s="22"/>
      <c r="W64" s="22"/>
    </row>
    <row r="65" spans="1:23" x14ac:dyDescent="0.25">
      <c r="A65" s="98" t="s">
        <v>14</v>
      </c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100"/>
      <c r="P65" s="75">
        <f>P26+P36+P62</f>
        <v>0</v>
      </c>
      <c r="S65" s="22"/>
      <c r="T65" s="22"/>
      <c r="U65" s="22"/>
      <c r="V65" s="22"/>
      <c r="W65" s="22"/>
    </row>
    <row r="66" spans="1:23" x14ac:dyDescent="0.25">
      <c r="A66" s="98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100"/>
      <c r="S66" s="22"/>
      <c r="T66" s="22"/>
      <c r="U66" s="22"/>
      <c r="V66" s="22"/>
      <c r="W66" s="22"/>
    </row>
    <row r="67" spans="1:23" x14ac:dyDescent="0.25">
      <c r="A67" s="98" t="s">
        <v>15</v>
      </c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100"/>
      <c r="P67" s="75">
        <v>0</v>
      </c>
      <c r="S67" s="22"/>
      <c r="T67" s="22"/>
      <c r="U67" s="22"/>
      <c r="V67" s="22"/>
      <c r="W67" s="22"/>
    </row>
    <row r="68" spans="1:23" x14ac:dyDescent="0.25">
      <c r="A68" s="98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100"/>
      <c r="S68" s="22"/>
      <c r="T68" s="22"/>
      <c r="U68" s="22"/>
      <c r="V68" s="22"/>
      <c r="W68" s="22"/>
    </row>
    <row r="69" spans="1:23" x14ac:dyDescent="0.25">
      <c r="A69" s="103" t="s">
        <v>20</v>
      </c>
      <c r="B69" s="103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75">
        <v>0</v>
      </c>
      <c r="S69" s="22"/>
      <c r="T69" s="22"/>
      <c r="U69" s="22"/>
      <c r="V69" s="22"/>
      <c r="W69" s="22"/>
    </row>
    <row r="70" spans="1:23" x14ac:dyDescent="0.25">
      <c r="A70" s="98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100"/>
      <c r="S70" s="22"/>
      <c r="T70" s="22"/>
      <c r="U70" s="22"/>
      <c r="V70" s="22"/>
      <c r="W70" s="22"/>
    </row>
    <row r="71" spans="1:23" x14ac:dyDescent="0.25">
      <c r="A71" s="104" t="s">
        <v>49</v>
      </c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76">
        <v>0</v>
      </c>
      <c r="S71" s="22"/>
      <c r="T71" s="22"/>
      <c r="U71" s="22"/>
      <c r="V71" s="22"/>
      <c r="W71" s="22"/>
    </row>
    <row r="72" spans="1:23" x14ac:dyDescent="0.25">
      <c r="A72" s="105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7"/>
      <c r="S72" s="22"/>
      <c r="T72" s="22"/>
      <c r="U72" s="22"/>
      <c r="V72" s="22"/>
      <c r="W72" s="22"/>
    </row>
    <row r="73" spans="1:23" x14ac:dyDescent="0.25">
      <c r="A73" s="98" t="s">
        <v>10</v>
      </c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100"/>
      <c r="P73" s="75">
        <f>SUM(P65,P67,P69, P71)</f>
        <v>0</v>
      </c>
      <c r="S73" s="22"/>
      <c r="T73" s="73"/>
      <c r="U73" s="22"/>
      <c r="V73" s="22"/>
      <c r="W73" s="22"/>
    </row>
    <row r="74" spans="1:23" x14ac:dyDescent="0.25">
      <c r="A74" s="98" t="s">
        <v>21</v>
      </c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100"/>
      <c r="P74" s="75">
        <f>P73*0.13</f>
        <v>0</v>
      </c>
    </row>
    <row r="75" spans="1:23" x14ac:dyDescent="0.25">
      <c r="A75" s="98" t="s">
        <v>22</v>
      </c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100"/>
      <c r="P75" s="75">
        <f>P73+P74</f>
        <v>0</v>
      </c>
    </row>
    <row r="76" spans="1:23" x14ac:dyDescent="0.25">
      <c r="A76" s="27" t="s">
        <v>35</v>
      </c>
      <c r="P76" s="29">
        <f>P73*1.13</f>
        <v>0</v>
      </c>
    </row>
    <row r="84" spans="2:11" ht="16.5" thickBot="1" x14ac:dyDescent="0.3"/>
    <row r="85" spans="2:11" ht="32.25" thickBot="1" x14ac:dyDescent="0.3">
      <c r="B85" s="27" t="s">
        <v>91</v>
      </c>
      <c r="C85" s="81" t="s">
        <v>92</v>
      </c>
      <c r="D85" s="93" t="s">
        <v>93</v>
      </c>
      <c r="E85" s="93"/>
      <c r="F85" s="82" t="s">
        <v>94</v>
      </c>
      <c r="G85" s="82" t="s">
        <v>95</v>
      </c>
      <c r="H85" s="83" t="s">
        <v>96</v>
      </c>
      <c r="I85" s="83" t="s">
        <v>97</v>
      </c>
    </row>
    <row r="86" spans="2:11" x14ac:dyDescent="0.25">
      <c r="B86" s="77" t="s">
        <v>98</v>
      </c>
      <c r="C86" s="84">
        <v>98.21</v>
      </c>
      <c r="D86" s="108">
        <f>(C86+17)</f>
        <v>115.21</v>
      </c>
      <c r="E86" s="108"/>
      <c r="F86" s="85">
        <v>196.41</v>
      </c>
      <c r="G86" s="85">
        <f>(F86+17)</f>
        <v>213.41</v>
      </c>
      <c r="H86" s="86">
        <v>112.94</v>
      </c>
      <c r="I86" s="87">
        <f>H86+17</f>
        <v>129.94</v>
      </c>
      <c r="J86" s="63"/>
      <c r="K86" s="63"/>
    </row>
    <row r="87" spans="2:11" x14ac:dyDescent="0.25">
      <c r="B87" s="77" t="s">
        <v>99</v>
      </c>
      <c r="C87" s="88">
        <v>87.65</v>
      </c>
      <c r="D87" s="97">
        <f>(C87+17)</f>
        <v>104.65</v>
      </c>
      <c r="E87" s="97"/>
      <c r="F87" s="89">
        <v>175.31</v>
      </c>
      <c r="G87" s="89">
        <f>(F87+17)</f>
        <v>192.31</v>
      </c>
      <c r="H87" s="90">
        <v>100.8</v>
      </c>
      <c r="I87" s="91">
        <f>H87+17</f>
        <v>117.8</v>
      </c>
      <c r="J87" s="63"/>
      <c r="K87" s="63"/>
    </row>
    <row r="88" spans="2:11" x14ac:dyDescent="0.25">
      <c r="B88" s="77" t="s">
        <v>100</v>
      </c>
      <c r="C88" s="88">
        <v>71.38</v>
      </c>
      <c r="D88" s="97">
        <f t="shared" ref="D88:D92" si="17">(C88+17)</f>
        <v>88.38</v>
      </c>
      <c r="E88" s="97"/>
      <c r="F88" s="89">
        <v>142.72999999999999</v>
      </c>
      <c r="G88" s="89">
        <f t="shared" ref="G88:G92" si="18">(F88+17)</f>
        <v>159.72999999999999</v>
      </c>
      <c r="H88" s="90">
        <v>82.09</v>
      </c>
      <c r="I88" s="91">
        <f t="shared" ref="I88:I92" si="19">H88+17</f>
        <v>99.09</v>
      </c>
      <c r="J88" s="63"/>
      <c r="K88" s="63"/>
    </row>
    <row r="89" spans="2:11" x14ac:dyDescent="0.25">
      <c r="B89" s="77" t="s">
        <v>101</v>
      </c>
      <c r="C89" s="88">
        <v>63.34</v>
      </c>
      <c r="D89" s="97">
        <f t="shared" si="17"/>
        <v>80.34</v>
      </c>
      <c r="E89" s="97"/>
      <c r="F89" s="89">
        <v>126.7</v>
      </c>
      <c r="G89" s="89">
        <f t="shared" si="18"/>
        <v>143.69999999999999</v>
      </c>
      <c r="H89" s="90">
        <v>72.84</v>
      </c>
      <c r="I89" s="91">
        <f t="shared" si="19"/>
        <v>89.84</v>
      </c>
      <c r="J89" s="63"/>
      <c r="K89" s="63"/>
    </row>
    <row r="90" spans="2:11" x14ac:dyDescent="0.25">
      <c r="B90" s="77" t="s">
        <v>102</v>
      </c>
      <c r="C90" s="88">
        <v>55.33</v>
      </c>
      <c r="D90" s="97">
        <f t="shared" si="17"/>
        <v>72.33</v>
      </c>
      <c r="E90" s="97"/>
      <c r="F90" s="89">
        <v>110.64</v>
      </c>
      <c r="G90" s="89">
        <f t="shared" si="18"/>
        <v>127.64</v>
      </c>
      <c r="H90" s="90">
        <v>63.63</v>
      </c>
      <c r="I90" s="91">
        <f t="shared" si="19"/>
        <v>80.63</v>
      </c>
      <c r="J90" s="63"/>
      <c r="K90" s="63"/>
    </row>
    <row r="91" spans="2:11" x14ac:dyDescent="0.25">
      <c r="B91" s="77" t="s">
        <v>103</v>
      </c>
      <c r="C91" s="88">
        <v>47.3</v>
      </c>
      <c r="D91" s="97">
        <f t="shared" si="17"/>
        <v>64.3</v>
      </c>
      <c r="E91" s="97"/>
      <c r="F91" s="89">
        <v>94.59</v>
      </c>
      <c r="G91" s="89">
        <f t="shared" si="18"/>
        <v>111.59</v>
      </c>
      <c r="H91" s="90">
        <v>54.4</v>
      </c>
      <c r="I91" s="91">
        <f t="shared" si="19"/>
        <v>71.400000000000006</v>
      </c>
      <c r="J91" s="63"/>
      <c r="K91" s="63"/>
    </row>
    <row r="92" spans="2:11" x14ac:dyDescent="0.25">
      <c r="B92" s="77" t="s">
        <v>104</v>
      </c>
      <c r="C92" s="88">
        <v>39.25</v>
      </c>
      <c r="D92" s="97">
        <f t="shared" si="17"/>
        <v>56.25</v>
      </c>
      <c r="E92" s="97"/>
      <c r="F92" s="89">
        <v>78.489999999999995</v>
      </c>
      <c r="G92" s="89">
        <f t="shared" si="18"/>
        <v>95.49</v>
      </c>
      <c r="H92" s="90">
        <v>45.14</v>
      </c>
      <c r="I92" s="91">
        <f t="shared" si="19"/>
        <v>62.14</v>
      </c>
      <c r="J92" s="63"/>
      <c r="K92" s="63"/>
    </row>
    <row r="93" spans="2:11" ht="16.5" thickBot="1" x14ac:dyDescent="0.3">
      <c r="D93" s="101"/>
      <c r="E93" s="102"/>
    </row>
    <row r="94" spans="2:11" ht="32.25" thickBot="1" x14ac:dyDescent="0.3">
      <c r="B94" s="27" t="s">
        <v>105</v>
      </c>
      <c r="C94" s="81" t="s">
        <v>92</v>
      </c>
      <c r="D94" s="93" t="s">
        <v>93</v>
      </c>
      <c r="E94" s="93"/>
      <c r="F94" s="82" t="s">
        <v>94</v>
      </c>
      <c r="G94" s="82" t="s">
        <v>95</v>
      </c>
      <c r="H94" s="83" t="s">
        <v>96</v>
      </c>
      <c r="I94" s="83" t="s">
        <v>97</v>
      </c>
      <c r="K94" s="33" t="s">
        <v>19</v>
      </c>
    </row>
    <row r="95" spans="2:11" x14ac:dyDescent="0.25">
      <c r="B95" s="77" t="s">
        <v>98</v>
      </c>
      <c r="C95" s="92">
        <f>C86/$K$95</f>
        <v>122.76249999999999</v>
      </c>
      <c r="D95" s="94">
        <f>D86/$K$95</f>
        <v>144.01249999999999</v>
      </c>
      <c r="E95" s="95"/>
      <c r="F95" s="92">
        <f>F86/$K$95</f>
        <v>245.51249999999999</v>
      </c>
      <c r="G95" s="92">
        <f>G86/$K$95</f>
        <v>266.76249999999999</v>
      </c>
      <c r="H95" s="92">
        <f>H86/$K$95</f>
        <v>141.17499999999998</v>
      </c>
      <c r="I95" s="92">
        <f>I86/$K$95</f>
        <v>162.42499999999998</v>
      </c>
      <c r="K95" s="5">
        <v>0.8</v>
      </c>
    </row>
    <row r="96" spans="2:11" x14ac:dyDescent="0.25">
      <c r="B96" s="77" t="s">
        <v>99</v>
      </c>
      <c r="C96" s="92">
        <f t="shared" ref="C96:D101" si="20">C87/$K$95</f>
        <v>109.5625</v>
      </c>
      <c r="D96" s="97">
        <f t="shared" si="20"/>
        <v>130.8125</v>
      </c>
      <c r="E96" s="97"/>
      <c r="F96" s="92">
        <f t="shared" ref="F96:I101" si="21">F87/$K$95</f>
        <v>219.13749999999999</v>
      </c>
      <c r="G96" s="92">
        <f t="shared" si="21"/>
        <v>240.38749999999999</v>
      </c>
      <c r="H96" s="92">
        <f t="shared" si="21"/>
        <v>125.99999999999999</v>
      </c>
      <c r="I96" s="92">
        <f t="shared" si="21"/>
        <v>147.25</v>
      </c>
    </row>
    <row r="97" spans="2:9" x14ac:dyDescent="0.25">
      <c r="B97" s="77" t="s">
        <v>100</v>
      </c>
      <c r="C97" s="92">
        <f t="shared" si="20"/>
        <v>89.224999999999994</v>
      </c>
      <c r="D97" s="97">
        <f t="shared" si="20"/>
        <v>110.47499999999999</v>
      </c>
      <c r="E97" s="97"/>
      <c r="F97" s="92">
        <f t="shared" si="21"/>
        <v>178.41249999999997</v>
      </c>
      <c r="G97" s="92">
        <f t="shared" si="21"/>
        <v>199.66249999999997</v>
      </c>
      <c r="H97" s="92">
        <f t="shared" si="21"/>
        <v>102.6125</v>
      </c>
      <c r="I97" s="92">
        <f t="shared" si="21"/>
        <v>123.8625</v>
      </c>
    </row>
    <row r="98" spans="2:9" x14ac:dyDescent="0.25">
      <c r="B98" s="77" t="s">
        <v>101</v>
      </c>
      <c r="C98" s="92">
        <f t="shared" si="20"/>
        <v>79.174999999999997</v>
      </c>
      <c r="D98" s="97">
        <f t="shared" si="20"/>
        <v>100.425</v>
      </c>
      <c r="E98" s="97"/>
      <c r="F98" s="92">
        <f t="shared" si="21"/>
        <v>158.375</v>
      </c>
      <c r="G98" s="92">
        <f t="shared" si="21"/>
        <v>179.62499999999997</v>
      </c>
      <c r="H98" s="92">
        <f t="shared" si="21"/>
        <v>91.05</v>
      </c>
      <c r="I98" s="92">
        <f t="shared" si="21"/>
        <v>112.3</v>
      </c>
    </row>
    <row r="99" spans="2:9" x14ac:dyDescent="0.25">
      <c r="B99" s="77" t="s">
        <v>102</v>
      </c>
      <c r="C99" s="92">
        <f t="shared" si="20"/>
        <v>69.162499999999994</v>
      </c>
      <c r="D99" s="97">
        <f t="shared" si="20"/>
        <v>90.412499999999994</v>
      </c>
      <c r="E99" s="97"/>
      <c r="F99" s="92">
        <f t="shared" si="21"/>
        <v>138.29999999999998</v>
      </c>
      <c r="G99" s="92">
        <f t="shared" si="21"/>
        <v>159.54999999999998</v>
      </c>
      <c r="H99" s="92">
        <f t="shared" si="21"/>
        <v>79.537499999999994</v>
      </c>
      <c r="I99" s="92">
        <f t="shared" si="21"/>
        <v>100.78749999999999</v>
      </c>
    </row>
    <row r="100" spans="2:9" x14ac:dyDescent="0.25">
      <c r="B100" s="77" t="s">
        <v>103</v>
      </c>
      <c r="C100" s="92">
        <f t="shared" si="20"/>
        <v>59.124999999999993</v>
      </c>
      <c r="D100" s="97">
        <f t="shared" si="20"/>
        <v>80.374999999999986</v>
      </c>
      <c r="E100" s="97"/>
      <c r="F100" s="92">
        <f t="shared" si="21"/>
        <v>118.2375</v>
      </c>
      <c r="G100" s="92">
        <f t="shared" si="21"/>
        <v>139.48749999999998</v>
      </c>
      <c r="H100" s="92">
        <f t="shared" si="21"/>
        <v>68</v>
      </c>
      <c r="I100" s="92">
        <f t="shared" si="21"/>
        <v>89.25</v>
      </c>
    </row>
    <row r="101" spans="2:9" x14ac:dyDescent="0.25">
      <c r="B101" s="77" t="s">
        <v>104</v>
      </c>
      <c r="C101" s="92">
        <f t="shared" si="20"/>
        <v>49.0625</v>
      </c>
      <c r="D101" s="97">
        <f t="shared" si="20"/>
        <v>70.3125</v>
      </c>
      <c r="E101" s="97"/>
      <c r="F101" s="92">
        <f t="shared" si="21"/>
        <v>98.112499999999983</v>
      </c>
      <c r="G101" s="92">
        <f t="shared" si="21"/>
        <v>119.36249999999998</v>
      </c>
      <c r="H101" s="92">
        <f t="shared" si="21"/>
        <v>56.424999999999997</v>
      </c>
      <c r="I101" s="92">
        <f t="shared" si="21"/>
        <v>77.674999999999997</v>
      </c>
    </row>
    <row r="102" spans="2:9" x14ac:dyDescent="0.25">
      <c r="D102" s="96"/>
      <c r="E102" s="96"/>
    </row>
    <row r="103" spans="2:9" x14ac:dyDescent="0.25">
      <c r="D103" s="96"/>
      <c r="E103" s="96"/>
    </row>
    <row r="104" spans="2:9" x14ac:dyDescent="0.25">
      <c r="B104" s="27" t="s">
        <v>106</v>
      </c>
      <c r="C104" s="27" t="s">
        <v>107</v>
      </c>
    </row>
    <row r="105" spans="2:9" x14ac:dyDescent="0.25">
      <c r="B105" s="27" t="s">
        <v>108</v>
      </c>
      <c r="C105" s="27">
        <v>8.6999999999999993</v>
      </c>
      <c r="G105" s="96">
        <v>2500000</v>
      </c>
      <c r="H105" s="96"/>
      <c r="I105" s="63">
        <f>G105/1000*C105</f>
        <v>21750</v>
      </c>
    </row>
    <row r="106" spans="2:9" x14ac:dyDescent="0.25">
      <c r="B106" s="27" t="s">
        <v>109</v>
      </c>
      <c r="C106" s="27">
        <v>7.9</v>
      </c>
      <c r="G106" s="96">
        <v>2500000</v>
      </c>
      <c r="H106" s="96"/>
      <c r="I106" s="63">
        <f>G106/1000*C106</f>
        <v>19750</v>
      </c>
    </row>
    <row r="107" spans="2:9" x14ac:dyDescent="0.25">
      <c r="B107" s="27" t="s">
        <v>110</v>
      </c>
      <c r="C107" s="27">
        <v>6.95</v>
      </c>
      <c r="G107" s="96">
        <v>2500000</v>
      </c>
      <c r="H107" s="96"/>
      <c r="I107" s="63">
        <f>G107/1000*C107</f>
        <v>17375</v>
      </c>
    </row>
    <row r="108" spans="2:9" x14ac:dyDescent="0.25">
      <c r="B108" s="27" t="s">
        <v>111</v>
      </c>
      <c r="I108" s="63">
        <f>I105+I106+I107</f>
        <v>58875</v>
      </c>
    </row>
    <row r="109" spans="2:9" x14ac:dyDescent="0.25">
      <c r="B109" s="27" t="s">
        <v>112</v>
      </c>
      <c r="C109" s="27">
        <v>12</v>
      </c>
      <c r="I109" s="63">
        <f>I108*C109*0.01</f>
        <v>7065</v>
      </c>
    </row>
    <row r="110" spans="2:9" x14ac:dyDescent="0.25">
      <c r="B110" s="27" t="s">
        <v>113</v>
      </c>
      <c r="I110" s="63">
        <f>I108+I109</f>
        <v>65940</v>
      </c>
    </row>
    <row r="111" spans="2:9" x14ac:dyDescent="0.25">
      <c r="B111" s="27" t="s">
        <v>114</v>
      </c>
      <c r="I111" s="63">
        <f>I110/0.9</f>
        <v>73266.666666666672</v>
      </c>
    </row>
    <row r="114" spans="6:7" x14ac:dyDescent="0.25">
      <c r="F114" s="21"/>
      <c r="G114" s="21"/>
    </row>
    <row r="115" spans="6:7" x14ac:dyDescent="0.25">
      <c r="F115" s="21"/>
      <c r="G115" s="77"/>
    </row>
    <row r="116" spans="6:7" x14ac:dyDescent="0.25">
      <c r="F116" s="21"/>
      <c r="G116" s="77"/>
    </row>
    <row r="117" spans="6:7" x14ac:dyDescent="0.25">
      <c r="F117" s="21"/>
      <c r="G117" s="77"/>
    </row>
    <row r="118" spans="6:7" x14ac:dyDescent="0.25">
      <c r="F118" s="21"/>
      <c r="G118" s="77"/>
    </row>
    <row r="119" spans="6:7" x14ac:dyDescent="0.25">
      <c r="F119" s="21"/>
      <c r="G119" s="77"/>
    </row>
  </sheetData>
  <mergeCells count="249">
    <mergeCell ref="G105:H105"/>
    <mergeCell ref="G106:H106"/>
    <mergeCell ref="G107:H107"/>
    <mergeCell ref="D100:E100"/>
    <mergeCell ref="D101:E101"/>
    <mergeCell ref="D102:E102"/>
    <mergeCell ref="D103:E103"/>
    <mergeCell ref="D90:E90"/>
    <mergeCell ref="D91:E91"/>
    <mergeCell ref="D98:E98"/>
    <mergeCell ref="D99:E99"/>
    <mergeCell ref="D92:E92"/>
    <mergeCell ref="D93:E93"/>
    <mergeCell ref="D94:E94"/>
    <mergeCell ref="D95:E95"/>
    <mergeCell ref="D96:E96"/>
    <mergeCell ref="D97:E97"/>
    <mergeCell ref="A75:O75"/>
    <mergeCell ref="D87:E87"/>
    <mergeCell ref="D88:E88"/>
    <mergeCell ref="D89:E89"/>
    <mergeCell ref="A69:O69"/>
    <mergeCell ref="A70:P70"/>
    <mergeCell ref="A71:O71"/>
    <mergeCell ref="A72:P72"/>
    <mergeCell ref="A73:O73"/>
    <mergeCell ref="A74:O74"/>
    <mergeCell ref="D85:E85"/>
    <mergeCell ref="D86:E86"/>
    <mergeCell ref="A62:O62"/>
    <mergeCell ref="A63:P64"/>
    <mergeCell ref="A65:O65"/>
    <mergeCell ref="A66:P66"/>
    <mergeCell ref="A67:O67"/>
    <mergeCell ref="A68:P68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M59:N59"/>
    <mergeCell ref="C58:D58"/>
    <mergeCell ref="E58:F58"/>
    <mergeCell ref="G58:H58"/>
    <mergeCell ref="I58:J58"/>
    <mergeCell ref="K58:L58"/>
    <mergeCell ref="M58:N58"/>
    <mergeCell ref="C57:D57"/>
    <mergeCell ref="E57:F57"/>
    <mergeCell ref="G57:H57"/>
    <mergeCell ref="I57:J57"/>
    <mergeCell ref="K57:L57"/>
    <mergeCell ref="M57:N57"/>
    <mergeCell ref="C56:D56"/>
    <mergeCell ref="E56:F56"/>
    <mergeCell ref="G56:H56"/>
    <mergeCell ref="I56:J56"/>
    <mergeCell ref="K56:L56"/>
    <mergeCell ref="M56:N56"/>
    <mergeCell ref="C55:D55"/>
    <mergeCell ref="E55:F55"/>
    <mergeCell ref="G55:H55"/>
    <mergeCell ref="I55:J55"/>
    <mergeCell ref="K55:L55"/>
    <mergeCell ref="M55:N55"/>
    <mergeCell ref="C54:D54"/>
    <mergeCell ref="E54:F54"/>
    <mergeCell ref="G54:H54"/>
    <mergeCell ref="I54:J54"/>
    <mergeCell ref="K54:L54"/>
    <mergeCell ref="M54:N54"/>
    <mergeCell ref="C53:D53"/>
    <mergeCell ref="E53:F53"/>
    <mergeCell ref="G53:H53"/>
    <mergeCell ref="I53:J53"/>
    <mergeCell ref="K53:L53"/>
    <mergeCell ref="M53:N53"/>
    <mergeCell ref="C52:D52"/>
    <mergeCell ref="E52:F52"/>
    <mergeCell ref="G52:H52"/>
    <mergeCell ref="I52:J52"/>
    <mergeCell ref="K52:L52"/>
    <mergeCell ref="M52:N52"/>
    <mergeCell ref="C51:D51"/>
    <mergeCell ref="E51:F51"/>
    <mergeCell ref="G51:H51"/>
    <mergeCell ref="I51:J51"/>
    <mergeCell ref="K51:L51"/>
    <mergeCell ref="M51:N51"/>
    <mergeCell ref="C50:D50"/>
    <mergeCell ref="E50:F50"/>
    <mergeCell ref="G50:H50"/>
    <mergeCell ref="I50:J50"/>
    <mergeCell ref="K50:L50"/>
    <mergeCell ref="M50:N50"/>
    <mergeCell ref="C49:D49"/>
    <mergeCell ref="E49:F49"/>
    <mergeCell ref="G49:H49"/>
    <mergeCell ref="I49:J49"/>
    <mergeCell ref="K49:L49"/>
    <mergeCell ref="M49:N49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M46:N46"/>
    <mergeCell ref="C45:D45"/>
    <mergeCell ref="E45:F45"/>
    <mergeCell ref="G45:H45"/>
    <mergeCell ref="I45:J45"/>
    <mergeCell ref="K45:L45"/>
    <mergeCell ref="M45:N45"/>
    <mergeCell ref="C44:D44"/>
    <mergeCell ref="E44:F44"/>
    <mergeCell ref="G44:H44"/>
    <mergeCell ref="I44:J44"/>
    <mergeCell ref="K44:L44"/>
    <mergeCell ref="M44:N44"/>
    <mergeCell ref="C43:D43"/>
    <mergeCell ref="E43:F43"/>
    <mergeCell ref="G43:H43"/>
    <mergeCell ref="I43:J43"/>
    <mergeCell ref="K43:L43"/>
    <mergeCell ref="M43:N43"/>
    <mergeCell ref="C42:D42"/>
    <mergeCell ref="E42:F42"/>
    <mergeCell ref="G42:H42"/>
    <mergeCell ref="I42:J42"/>
    <mergeCell ref="K42:L42"/>
    <mergeCell ref="M42:N42"/>
    <mergeCell ref="C41:D41"/>
    <mergeCell ref="E41:F41"/>
    <mergeCell ref="G41:H41"/>
    <mergeCell ref="I41:J41"/>
    <mergeCell ref="K41:L41"/>
    <mergeCell ref="M41:N41"/>
    <mergeCell ref="C40:D40"/>
    <mergeCell ref="E40:F40"/>
    <mergeCell ref="G40:H40"/>
    <mergeCell ref="I40:J40"/>
    <mergeCell ref="K40:L40"/>
    <mergeCell ref="M40:N40"/>
    <mergeCell ref="C39:D39"/>
    <mergeCell ref="E39:F39"/>
    <mergeCell ref="G39:H39"/>
    <mergeCell ref="I39:J39"/>
    <mergeCell ref="K39:L39"/>
    <mergeCell ref="M39:N39"/>
    <mergeCell ref="A36:O36"/>
    <mergeCell ref="A37:P37"/>
    <mergeCell ref="C38:D38"/>
    <mergeCell ref="E38:F38"/>
    <mergeCell ref="G38:H38"/>
    <mergeCell ref="I38:J38"/>
    <mergeCell ref="K38:L38"/>
    <mergeCell ref="M38:N38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M34:N34"/>
    <mergeCell ref="C33:D33"/>
    <mergeCell ref="E33:F33"/>
    <mergeCell ref="G33:H33"/>
    <mergeCell ref="I33:J33"/>
    <mergeCell ref="K33:L33"/>
    <mergeCell ref="M33:N33"/>
    <mergeCell ref="C32:D32"/>
    <mergeCell ref="E32:F32"/>
    <mergeCell ref="G32:H32"/>
    <mergeCell ref="I32:J32"/>
    <mergeCell ref="K32:L32"/>
    <mergeCell ref="M32:N32"/>
    <mergeCell ref="C31:D31"/>
    <mergeCell ref="E31:F31"/>
    <mergeCell ref="G31:H31"/>
    <mergeCell ref="I31:J31"/>
    <mergeCell ref="K31:L31"/>
    <mergeCell ref="M31:N31"/>
    <mergeCell ref="C30:D30"/>
    <mergeCell ref="E30:F30"/>
    <mergeCell ref="G30:H30"/>
    <mergeCell ref="I30:J30"/>
    <mergeCell ref="K30:L30"/>
    <mergeCell ref="M30:N30"/>
    <mergeCell ref="C29:D29"/>
    <mergeCell ref="E29:F29"/>
    <mergeCell ref="G29:H29"/>
    <mergeCell ref="I29:J29"/>
    <mergeCell ref="K29:L29"/>
    <mergeCell ref="M29:N29"/>
    <mergeCell ref="A27:P27"/>
    <mergeCell ref="C28:D28"/>
    <mergeCell ref="E28:F28"/>
    <mergeCell ref="G28:H28"/>
    <mergeCell ref="I28:J28"/>
    <mergeCell ref="K28:L28"/>
    <mergeCell ref="M28:N28"/>
    <mergeCell ref="A6:P6"/>
    <mergeCell ref="A14:E14"/>
    <mergeCell ref="I14:K14"/>
    <mergeCell ref="A15:P15"/>
    <mergeCell ref="A16:P16"/>
    <mergeCell ref="A25:E25"/>
    <mergeCell ref="G25:G26"/>
    <mergeCell ref="I25:K26"/>
    <mergeCell ref="M25:M26"/>
    <mergeCell ref="O25:O26"/>
    <mergeCell ref="A1:P2"/>
    <mergeCell ref="A3:P3"/>
    <mergeCell ref="A4:A5"/>
    <mergeCell ref="B4:B5"/>
    <mergeCell ref="C4:H4"/>
    <mergeCell ref="I4:N4"/>
    <mergeCell ref="O4:O5"/>
    <mergeCell ref="P4:P5"/>
    <mergeCell ref="A26:E26"/>
  </mergeCells>
  <dataValidations count="1">
    <dataValidation type="list" allowBlank="1" showInputMessage="1" showErrorMessage="1" sqref="O7:O13 O17:O24 O29:O35 O39:O61 K95" xr:uid="{C2D3804B-C97D-42D6-A051-41373E877CDD}">
      <formula1>"1,.95,.94,.93,.92,.91,.9,.89,.88,.87,.86,.85,.84,.83,.82,.81,.8,.79,.78,.77,.76,.75,.74,.73,.72,.71,.7,.66"</formula1>
    </dataValidation>
  </dataValidations>
  <printOptions horizontalCentered="1" verticalCentered="1"/>
  <pageMargins left="0.45" right="0.45" top="0.75" bottom="0.75" header="0.3" footer="0.3"/>
  <pageSetup paperSize="17" scale="72" fitToHeight="0" orientation="portrait" horizontalDpi="300" verticalDpi="300" r:id="rId1"/>
  <colBreaks count="1" manualBreakCount="1">
    <brk id="16" max="8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B421C-0DA5-4277-93A1-5D07DEC1F2EB}">
  <dimension ref="A1:W119"/>
  <sheetViews>
    <sheetView zoomScale="80" zoomScaleNormal="80" workbookViewId="0">
      <selection activeCell="A37" sqref="A37:P37"/>
    </sheetView>
  </sheetViews>
  <sheetFormatPr defaultColWidth="9.140625" defaultRowHeight="15.75" x14ac:dyDescent="0.25"/>
  <cols>
    <col min="1" max="1" width="9.140625" style="27"/>
    <col min="2" max="2" width="44.85546875" style="27" customWidth="1"/>
    <col min="3" max="3" width="14.140625" style="27" customWidth="1"/>
    <col min="4" max="4" width="7.28515625" style="27" customWidth="1"/>
    <col min="5" max="5" width="9.42578125" style="27" customWidth="1"/>
    <col min="6" max="6" width="15.7109375" style="27" customWidth="1"/>
    <col min="7" max="7" width="19.140625" style="27" customWidth="1"/>
    <col min="8" max="14" width="15.28515625" style="27" customWidth="1"/>
    <col min="15" max="15" width="14.85546875" style="27" customWidth="1"/>
    <col min="16" max="16" width="22" style="27" customWidth="1"/>
    <col min="17" max="17" width="9.140625" style="27"/>
    <col min="18" max="18" width="12.42578125" style="27" bestFit="1" customWidth="1"/>
    <col min="19" max="19" width="11.42578125" style="27" customWidth="1"/>
    <col min="20" max="20" width="15.5703125" style="27" bestFit="1" customWidth="1"/>
    <col min="21" max="21" width="12.85546875" style="27" customWidth="1"/>
    <col min="22" max="22" width="13.85546875" style="27" customWidth="1"/>
    <col min="23" max="23" width="11.85546875" style="27" customWidth="1"/>
    <col min="24" max="16384" width="9.140625" style="27"/>
  </cols>
  <sheetData>
    <row r="1" spans="1:20" ht="23.25" customHeight="1" x14ac:dyDescent="0.25">
      <c r="A1" s="174" t="str" cm="1">
        <f t="array" aca="1" ref="A1" ca="1">MID(CELL("filename",C1),FIND("]",CELL("filename",C1))+1,255)</f>
        <v>Location 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6"/>
      <c r="R1" s="27" t="str" cm="1">
        <f t="array" aca="1" ref="R1" ca="1">MID(CELL("filename",C1),FIND("]",CELL("filename",C1))+1,255)</f>
        <v>Location 4</v>
      </c>
    </row>
    <row r="2" spans="1:20" ht="19.5" customHeight="1" thickBot="1" x14ac:dyDescent="0.3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9"/>
    </row>
    <row r="3" spans="1:20" ht="19.5" thickBot="1" x14ac:dyDescent="0.3">
      <c r="A3" s="150" t="s">
        <v>53</v>
      </c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</row>
    <row r="4" spans="1:20" ht="19.5" thickBot="1" x14ac:dyDescent="0.3">
      <c r="A4" s="180" t="s">
        <v>9</v>
      </c>
      <c r="B4" s="180" t="s">
        <v>0</v>
      </c>
      <c r="C4" s="133" t="s">
        <v>54</v>
      </c>
      <c r="D4" s="182"/>
      <c r="E4" s="182"/>
      <c r="F4" s="182"/>
      <c r="G4" s="182"/>
      <c r="H4" s="134"/>
      <c r="I4" s="183" t="s">
        <v>55</v>
      </c>
      <c r="J4" s="184"/>
      <c r="K4" s="184"/>
      <c r="L4" s="184"/>
      <c r="M4" s="184"/>
      <c r="N4" s="185"/>
      <c r="O4" s="180" t="s">
        <v>19</v>
      </c>
      <c r="P4" s="186" t="s">
        <v>56</v>
      </c>
    </row>
    <row r="5" spans="1:20" ht="57" thickBot="1" x14ac:dyDescent="0.3">
      <c r="A5" s="181"/>
      <c r="B5" s="181"/>
      <c r="C5" s="35" t="s">
        <v>1</v>
      </c>
      <c r="D5" s="35" t="s">
        <v>34</v>
      </c>
      <c r="E5" s="35" t="s">
        <v>57</v>
      </c>
      <c r="F5" s="35" t="s">
        <v>58</v>
      </c>
      <c r="G5" s="36" t="s">
        <v>59</v>
      </c>
      <c r="H5" s="36" t="s">
        <v>3</v>
      </c>
      <c r="I5" s="37" t="s">
        <v>1</v>
      </c>
      <c r="J5" s="37" t="s">
        <v>34</v>
      </c>
      <c r="K5" s="37" t="s">
        <v>60</v>
      </c>
      <c r="L5" s="37" t="s">
        <v>61</v>
      </c>
      <c r="M5" s="38" t="s">
        <v>62</v>
      </c>
      <c r="N5" s="37" t="s">
        <v>4</v>
      </c>
      <c r="O5" s="181"/>
      <c r="P5" s="187"/>
    </row>
    <row r="6" spans="1:20" ht="34.5" customHeight="1" thickBot="1" x14ac:dyDescent="0.3">
      <c r="A6" s="150" t="s">
        <v>7</v>
      </c>
      <c r="B6" s="150"/>
      <c r="C6" s="150"/>
      <c r="D6" s="150"/>
      <c r="E6" s="150"/>
      <c r="F6" s="150"/>
      <c r="G6" s="150"/>
      <c r="H6" s="150"/>
      <c r="I6" s="149"/>
      <c r="J6" s="149"/>
      <c r="K6" s="149"/>
      <c r="L6" s="149"/>
      <c r="M6" s="149"/>
      <c r="N6" s="149"/>
      <c r="O6" s="150"/>
      <c r="P6" s="149"/>
      <c r="T6" s="63">
        <f>(P25+P36+P62)*0.05</f>
        <v>0</v>
      </c>
    </row>
    <row r="7" spans="1:20" ht="16.5" thickTop="1" x14ac:dyDescent="0.25">
      <c r="A7" s="23">
        <v>1</v>
      </c>
      <c r="B7" s="24" t="s">
        <v>8</v>
      </c>
      <c r="C7" s="13">
        <v>0</v>
      </c>
      <c r="D7" s="13">
        <v>0</v>
      </c>
      <c r="E7" s="13"/>
      <c r="F7" s="13">
        <f>C7*D7*E7</f>
        <v>0</v>
      </c>
      <c r="G7" s="39">
        <v>90</v>
      </c>
      <c r="H7" s="40">
        <f t="shared" ref="H7:H13" si="0">F7*G7</f>
        <v>0</v>
      </c>
      <c r="I7" s="41"/>
      <c r="J7" s="42"/>
      <c r="K7" s="42"/>
      <c r="L7" s="42">
        <f>I7*J7*K7</f>
        <v>0</v>
      </c>
      <c r="M7" s="43">
        <v>150</v>
      </c>
      <c r="N7" s="44">
        <f>L7*M7</f>
        <v>0</v>
      </c>
      <c r="O7" s="5">
        <v>0.85</v>
      </c>
      <c r="P7" s="45">
        <f>H7/O7+N7/O7</f>
        <v>0</v>
      </c>
      <c r="R7" s="29"/>
    </row>
    <row r="8" spans="1:20" x14ac:dyDescent="0.25">
      <c r="A8" s="23">
        <v>2</v>
      </c>
      <c r="B8" s="4" t="s">
        <v>7</v>
      </c>
      <c r="C8" s="13">
        <v>0.05</v>
      </c>
      <c r="D8" s="13">
        <v>1</v>
      </c>
      <c r="E8" s="13">
        <v>1</v>
      </c>
      <c r="F8" s="13">
        <f>C8*D8*E8</f>
        <v>0.05</v>
      </c>
      <c r="G8" s="39">
        <f>(P25+P36+P62)</f>
        <v>0</v>
      </c>
      <c r="H8" s="46">
        <f t="shared" si="0"/>
        <v>0</v>
      </c>
      <c r="I8" s="47"/>
      <c r="J8" s="48"/>
      <c r="K8" s="48"/>
      <c r="L8" s="48">
        <f>I8*J8*K8</f>
        <v>0</v>
      </c>
      <c r="M8" s="39">
        <v>150</v>
      </c>
      <c r="N8" s="46">
        <f>L8*M8</f>
        <v>0</v>
      </c>
      <c r="O8" s="5">
        <v>0.85</v>
      </c>
      <c r="P8" s="49">
        <f t="shared" ref="P8:P13" si="1">H8/O8+N8/O8</f>
        <v>0</v>
      </c>
    </row>
    <row r="9" spans="1:20" x14ac:dyDescent="0.25">
      <c r="A9" s="23">
        <v>3</v>
      </c>
      <c r="B9" s="4" t="s">
        <v>26</v>
      </c>
      <c r="C9" s="13"/>
      <c r="D9" s="13"/>
      <c r="E9" s="13"/>
      <c r="F9" s="13">
        <f>C9*D9*E9</f>
        <v>0</v>
      </c>
      <c r="G9" s="39">
        <v>2000</v>
      </c>
      <c r="H9" s="46">
        <f t="shared" si="0"/>
        <v>0</v>
      </c>
      <c r="I9" s="47"/>
      <c r="J9" s="48"/>
      <c r="K9" s="48"/>
      <c r="L9" s="48">
        <f>I9*J9*K9</f>
        <v>0</v>
      </c>
      <c r="M9" s="39">
        <v>0</v>
      </c>
      <c r="N9" s="46">
        <f t="shared" ref="N9:N13" si="2">L9*M9</f>
        <v>0</v>
      </c>
      <c r="O9" s="5">
        <v>0.85</v>
      </c>
      <c r="P9" s="50">
        <f t="shared" si="1"/>
        <v>0</v>
      </c>
    </row>
    <row r="10" spans="1:20" x14ac:dyDescent="0.25">
      <c r="A10" s="23">
        <v>4</v>
      </c>
      <c r="B10" s="4" t="s">
        <v>38</v>
      </c>
      <c r="C10" s="13">
        <v>0.05</v>
      </c>
      <c r="D10" s="13">
        <v>1</v>
      </c>
      <c r="E10" s="13">
        <v>1</v>
      </c>
      <c r="F10" s="13">
        <f t="shared" ref="F10:F11" si="3">C10*D10*E10</f>
        <v>0.05</v>
      </c>
      <c r="G10" s="39">
        <f>P36</f>
        <v>0</v>
      </c>
      <c r="H10" s="46">
        <f t="shared" si="0"/>
        <v>0</v>
      </c>
      <c r="I10" s="47"/>
      <c r="J10" s="48"/>
      <c r="K10" s="48"/>
      <c r="L10" s="48">
        <f t="shared" ref="L10:L13" si="4">I10*J10*K10</f>
        <v>0</v>
      </c>
      <c r="M10" s="39">
        <v>150</v>
      </c>
      <c r="N10" s="46">
        <f t="shared" si="2"/>
        <v>0</v>
      </c>
      <c r="O10" s="5">
        <v>0.85</v>
      </c>
      <c r="P10" s="50">
        <f t="shared" si="1"/>
        <v>0</v>
      </c>
    </row>
    <row r="11" spans="1:20" x14ac:dyDescent="0.25">
      <c r="A11" s="23">
        <v>5</v>
      </c>
      <c r="B11" s="4" t="s">
        <v>39</v>
      </c>
      <c r="C11" s="13">
        <v>0.05</v>
      </c>
      <c r="D11" s="13">
        <v>1</v>
      </c>
      <c r="E11" s="13">
        <v>1</v>
      </c>
      <c r="F11" s="13">
        <f t="shared" si="3"/>
        <v>0.05</v>
      </c>
      <c r="G11" s="39">
        <f>P62</f>
        <v>0</v>
      </c>
      <c r="H11" s="46">
        <f t="shared" si="0"/>
        <v>0</v>
      </c>
      <c r="I11" s="47"/>
      <c r="J11" s="48"/>
      <c r="K11" s="48"/>
      <c r="L11" s="48">
        <f t="shared" si="4"/>
        <v>0</v>
      </c>
      <c r="M11" s="39">
        <v>150</v>
      </c>
      <c r="N11" s="46">
        <f t="shared" si="2"/>
        <v>0</v>
      </c>
      <c r="O11" s="5">
        <v>0.85</v>
      </c>
      <c r="P11" s="50">
        <f t="shared" si="1"/>
        <v>0</v>
      </c>
    </row>
    <row r="12" spans="1:20" x14ac:dyDescent="0.25">
      <c r="A12" s="23">
        <v>6</v>
      </c>
      <c r="B12" s="4" t="s">
        <v>36</v>
      </c>
      <c r="C12" s="13"/>
      <c r="D12" s="13"/>
      <c r="E12" s="13"/>
      <c r="F12" s="13">
        <f>C12*D12*E12</f>
        <v>0</v>
      </c>
      <c r="G12" s="39">
        <v>92</v>
      </c>
      <c r="H12" s="46">
        <f t="shared" si="0"/>
        <v>0</v>
      </c>
      <c r="I12" s="47"/>
      <c r="J12" s="48"/>
      <c r="K12" s="48"/>
      <c r="L12" s="48">
        <f t="shared" si="4"/>
        <v>0</v>
      </c>
      <c r="M12" s="39">
        <v>150</v>
      </c>
      <c r="N12" s="46">
        <f t="shared" si="2"/>
        <v>0</v>
      </c>
      <c r="O12" s="5">
        <v>0.85</v>
      </c>
      <c r="P12" s="50">
        <f t="shared" si="1"/>
        <v>0</v>
      </c>
    </row>
    <row r="13" spans="1:20" x14ac:dyDescent="0.25">
      <c r="A13" s="23">
        <v>7</v>
      </c>
      <c r="B13" s="4" t="s">
        <v>50</v>
      </c>
      <c r="C13" s="13">
        <v>1</v>
      </c>
      <c r="D13" s="13">
        <v>1</v>
      </c>
      <c r="E13" s="13">
        <v>1</v>
      </c>
      <c r="F13" s="13">
        <f>C13*D13*E13</f>
        <v>1</v>
      </c>
      <c r="G13" s="39">
        <v>0</v>
      </c>
      <c r="H13" s="46">
        <f t="shared" si="0"/>
        <v>0</v>
      </c>
      <c r="I13" s="47"/>
      <c r="J13" s="48"/>
      <c r="K13" s="48"/>
      <c r="L13" s="48">
        <f t="shared" si="4"/>
        <v>0</v>
      </c>
      <c r="M13" s="39">
        <v>175</v>
      </c>
      <c r="N13" s="46">
        <f t="shared" si="2"/>
        <v>0</v>
      </c>
      <c r="O13" s="5">
        <v>0.85</v>
      </c>
      <c r="P13" s="50">
        <f t="shared" si="1"/>
        <v>0</v>
      </c>
    </row>
    <row r="14" spans="1:20" s="21" customFormat="1" ht="15.75" customHeight="1" thickBot="1" x14ac:dyDescent="0.3">
      <c r="A14" s="157" t="s">
        <v>11</v>
      </c>
      <c r="B14" s="158"/>
      <c r="C14" s="158"/>
      <c r="D14" s="158"/>
      <c r="E14" s="161"/>
      <c r="F14" s="8">
        <f>SUM(F7:F13)</f>
        <v>1.1499999999999999</v>
      </c>
      <c r="G14" s="8"/>
      <c r="H14" s="51">
        <f>SUM(H7:H13)</f>
        <v>0</v>
      </c>
      <c r="I14" s="152"/>
      <c r="J14" s="153"/>
      <c r="K14" s="154"/>
      <c r="L14" s="52">
        <f>SUM(L7:L13)</f>
        <v>0</v>
      </c>
      <c r="M14" s="53"/>
      <c r="N14" s="54">
        <f>SUM(N7:N13)</f>
        <v>0</v>
      </c>
      <c r="O14" s="55"/>
      <c r="P14" s="56">
        <f>SUM(P7:P13)</f>
        <v>0</v>
      </c>
    </row>
    <row r="15" spans="1:20" ht="16.5" thickTop="1" x14ac:dyDescent="0.25">
      <c r="A15" s="155"/>
      <c r="B15" s="155"/>
      <c r="C15" s="155"/>
      <c r="D15" s="155"/>
      <c r="E15" s="155"/>
      <c r="F15" s="155"/>
      <c r="G15" s="155"/>
      <c r="H15" s="155"/>
      <c r="I15" s="156"/>
      <c r="J15" s="156"/>
      <c r="K15" s="156"/>
      <c r="L15" s="156"/>
      <c r="M15" s="156"/>
      <c r="N15" s="156"/>
      <c r="O15" s="155"/>
      <c r="P15" s="156"/>
    </row>
    <row r="16" spans="1:20" ht="16.5" thickBot="1" x14ac:dyDescent="0.3">
      <c r="A16" s="157" t="s">
        <v>12</v>
      </c>
      <c r="B16" s="158"/>
      <c r="C16" s="158"/>
      <c r="D16" s="158"/>
      <c r="E16" s="158"/>
      <c r="F16" s="158"/>
      <c r="G16" s="158"/>
      <c r="H16" s="158"/>
      <c r="I16" s="159"/>
      <c r="J16" s="159"/>
      <c r="K16" s="159"/>
      <c r="L16" s="159"/>
      <c r="M16" s="159"/>
      <c r="N16" s="159"/>
      <c r="O16" s="158"/>
      <c r="P16" s="160"/>
    </row>
    <row r="17" spans="1:23" ht="16.5" thickTop="1" x14ac:dyDescent="0.25">
      <c r="A17" s="26">
        <v>1</v>
      </c>
      <c r="B17" s="31" t="s">
        <v>63</v>
      </c>
      <c r="C17" s="5"/>
      <c r="D17" s="5"/>
      <c r="E17" s="5"/>
      <c r="F17" s="5">
        <f t="shared" ref="F17:F24" si="5">C17*D17*E17</f>
        <v>0</v>
      </c>
      <c r="G17" s="57">
        <v>108</v>
      </c>
      <c r="H17" s="58">
        <f t="shared" ref="H17:H24" si="6">F17*G17</f>
        <v>0</v>
      </c>
      <c r="I17" s="41"/>
      <c r="J17" s="42"/>
      <c r="K17" s="42"/>
      <c r="L17" s="42">
        <f>I17*J17*K17</f>
        <v>0</v>
      </c>
      <c r="M17" s="43">
        <v>195</v>
      </c>
      <c r="N17" s="44">
        <f>L17*M17</f>
        <v>0</v>
      </c>
      <c r="O17" s="5">
        <v>0.85</v>
      </c>
      <c r="P17" s="45">
        <f>H17/O17+N17/O17</f>
        <v>0</v>
      </c>
    </row>
    <row r="18" spans="1:23" x14ac:dyDescent="0.25">
      <c r="A18" s="26">
        <v>2</v>
      </c>
      <c r="B18" s="31" t="s">
        <v>64</v>
      </c>
      <c r="C18" s="5"/>
      <c r="D18" s="5"/>
      <c r="E18" s="5"/>
      <c r="F18" s="5">
        <f t="shared" si="5"/>
        <v>0</v>
      </c>
      <c r="G18" s="57">
        <v>108</v>
      </c>
      <c r="H18" s="58">
        <f t="shared" si="6"/>
        <v>0</v>
      </c>
      <c r="I18" s="59"/>
      <c r="J18" s="60"/>
      <c r="K18" s="60"/>
      <c r="L18" s="60">
        <f t="shared" ref="L18:L24" si="7">I18*J18*K18</f>
        <v>0</v>
      </c>
      <c r="M18" s="57">
        <v>195</v>
      </c>
      <c r="N18" s="61">
        <f t="shared" ref="N18:N24" si="8">L18*M18</f>
        <v>0</v>
      </c>
      <c r="O18" s="5">
        <v>0.85</v>
      </c>
      <c r="P18" s="49">
        <f t="shared" ref="P18:P24" si="9">H18/O18+N18/O18</f>
        <v>0</v>
      </c>
      <c r="U18" s="62"/>
    </row>
    <row r="19" spans="1:23" x14ac:dyDescent="0.25">
      <c r="A19" s="26">
        <v>3</v>
      </c>
      <c r="B19" s="18" t="s">
        <v>65</v>
      </c>
      <c r="C19" s="5"/>
      <c r="D19" s="5"/>
      <c r="E19" s="5"/>
      <c r="F19" s="5">
        <f t="shared" si="5"/>
        <v>0</v>
      </c>
      <c r="G19" s="57">
        <v>108</v>
      </c>
      <c r="H19" s="58">
        <f t="shared" si="6"/>
        <v>0</v>
      </c>
      <c r="I19" s="59"/>
      <c r="J19" s="60"/>
      <c r="K19" s="60"/>
      <c r="L19" s="60">
        <f t="shared" si="7"/>
        <v>0</v>
      </c>
      <c r="M19" s="57">
        <v>195</v>
      </c>
      <c r="N19" s="61">
        <f t="shared" si="8"/>
        <v>0</v>
      </c>
      <c r="O19" s="5">
        <v>0.85</v>
      </c>
      <c r="P19" s="49">
        <f t="shared" si="9"/>
        <v>0</v>
      </c>
      <c r="R19" s="63"/>
      <c r="U19" s="62"/>
    </row>
    <row r="20" spans="1:23" x14ac:dyDescent="0.25">
      <c r="A20" s="26">
        <v>4</v>
      </c>
      <c r="B20" s="18"/>
      <c r="C20" s="5"/>
      <c r="D20" s="5"/>
      <c r="E20" s="5"/>
      <c r="F20" s="5">
        <f t="shared" si="5"/>
        <v>0</v>
      </c>
      <c r="G20" s="57">
        <v>108</v>
      </c>
      <c r="H20" s="58">
        <f t="shared" si="6"/>
        <v>0</v>
      </c>
      <c r="I20" s="59"/>
      <c r="J20" s="60"/>
      <c r="K20" s="60"/>
      <c r="L20" s="60">
        <f t="shared" si="7"/>
        <v>0</v>
      </c>
      <c r="M20" s="57">
        <v>195</v>
      </c>
      <c r="N20" s="61">
        <f t="shared" si="8"/>
        <v>0</v>
      </c>
      <c r="O20" s="5">
        <v>0.85</v>
      </c>
      <c r="P20" s="49">
        <f t="shared" si="9"/>
        <v>0</v>
      </c>
      <c r="U20" s="62"/>
    </row>
    <row r="21" spans="1:23" x14ac:dyDescent="0.25">
      <c r="A21" s="26">
        <v>5</v>
      </c>
      <c r="B21" s="18"/>
      <c r="C21" s="5"/>
      <c r="D21" s="5"/>
      <c r="E21" s="5"/>
      <c r="F21" s="5">
        <f t="shared" si="5"/>
        <v>0</v>
      </c>
      <c r="G21" s="57">
        <v>108</v>
      </c>
      <c r="H21" s="58">
        <f t="shared" si="6"/>
        <v>0</v>
      </c>
      <c r="I21" s="59"/>
      <c r="J21" s="60"/>
      <c r="K21" s="60"/>
      <c r="L21" s="60">
        <f t="shared" si="7"/>
        <v>0</v>
      </c>
      <c r="M21" s="57">
        <v>195</v>
      </c>
      <c r="N21" s="61">
        <f t="shared" si="8"/>
        <v>0</v>
      </c>
      <c r="O21" s="5">
        <v>0.85</v>
      </c>
      <c r="P21" s="49">
        <f t="shared" si="9"/>
        <v>0</v>
      </c>
    </row>
    <row r="22" spans="1:23" x14ac:dyDescent="0.25">
      <c r="A22" s="26">
        <v>6</v>
      </c>
      <c r="B22" s="18"/>
      <c r="C22" s="5"/>
      <c r="D22" s="5"/>
      <c r="E22" s="5"/>
      <c r="F22" s="5">
        <f t="shared" si="5"/>
        <v>0</v>
      </c>
      <c r="G22" s="57">
        <v>108</v>
      </c>
      <c r="H22" s="58">
        <f t="shared" si="6"/>
        <v>0</v>
      </c>
      <c r="I22" s="59"/>
      <c r="J22" s="60"/>
      <c r="K22" s="60"/>
      <c r="L22" s="60">
        <f t="shared" si="7"/>
        <v>0</v>
      </c>
      <c r="M22" s="57">
        <v>195</v>
      </c>
      <c r="N22" s="61">
        <f t="shared" si="8"/>
        <v>0</v>
      </c>
      <c r="O22" s="5">
        <v>0.85</v>
      </c>
      <c r="P22" s="49">
        <f t="shared" si="9"/>
        <v>0</v>
      </c>
    </row>
    <row r="23" spans="1:23" x14ac:dyDescent="0.25">
      <c r="A23" s="26">
        <v>7</v>
      </c>
      <c r="B23" s="18"/>
      <c r="C23" s="5"/>
      <c r="D23" s="5"/>
      <c r="E23" s="5"/>
      <c r="F23" s="5">
        <f t="shared" si="5"/>
        <v>0</v>
      </c>
      <c r="G23" s="57">
        <v>108</v>
      </c>
      <c r="H23" s="58">
        <f t="shared" si="6"/>
        <v>0</v>
      </c>
      <c r="I23" s="59"/>
      <c r="J23" s="60"/>
      <c r="K23" s="60"/>
      <c r="L23" s="60">
        <f t="shared" si="7"/>
        <v>0</v>
      </c>
      <c r="M23" s="57">
        <v>195</v>
      </c>
      <c r="N23" s="61">
        <f t="shared" si="8"/>
        <v>0</v>
      </c>
      <c r="O23" s="5">
        <v>0.85</v>
      </c>
      <c r="P23" s="49">
        <f t="shared" si="9"/>
        <v>0</v>
      </c>
    </row>
    <row r="24" spans="1:23" x14ac:dyDescent="0.25">
      <c r="A24" s="26">
        <v>8</v>
      </c>
      <c r="B24" s="18"/>
      <c r="C24" s="5"/>
      <c r="D24" s="5"/>
      <c r="E24" s="5"/>
      <c r="F24" s="5">
        <f t="shared" si="5"/>
        <v>0</v>
      </c>
      <c r="G24" s="57">
        <v>108</v>
      </c>
      <c r="H24" s="58">
        <f t="shared" si="6"/>
        <v>0</v>
      </c>
      <c r="I24" s="59"/>
      <c r="J24" s="60"/>
      <c r="K24" s="60"/>
      <c r="L24" s="60">
        <f t="shared" si="7"/>
        <v>0</v>
      </c>
      <c r="M24" s="57">
        <v>195</v>
      </c>
      <c r="N24" s="61">
        <f t="shared" si="8"/>
        <v>0</v>
      </c>
      <c r="O24" s="5">
        <v>0.85</v>
      </c>
      <c r="P24" s="49">
        <f t="shared" si="9"/>
        <v>0</v>
      </c>
    </row>
    <row r="25" spans="1:23" ht="15.75" customHeight="1" x14ac:dyDescent="0.25">
      <c r="A25" s="157" t="s">
        <v>25</v>
      </c>
      <c r="B25" s="158"/>
      <c r="C25" s="158"/>
      <c r="D25" s="158"/>
      <c r="E25" s="161"/>
      <c r="F25" s="8">
        <f>SUM(F17:F24)</f>
        <v>0</v>
      </c>
      <c r="G25" s="162"/>
      <c r="H25" s="64">
        <f>SUM(H17:H24)</f>
        <v>0</v>
      </c>
      <c r="I25" s="164"/>
      <c r="J25" s="165"/>
      <c r="K25" s="166"/>
      <c r="L25" s="65">
        <f>SUM(L17:L24)</f>
        <v>0</v>
      </c>
      <c r="M25" s="170"/>
      <c r="N25" s="66">
        <f>SUM(N17:N24)</f>
        <v>0</v>
      </c>
      <c r="O25" s="172"/>
      <c r="P25" s="67">
        <f>SUM(P17:P24)</f>
        <v>0</v>
      </c>
      <c r="S25" s="22"/>
      <c r="T25" s="22"/>
    </row>
    <row r="26" spans="1:23" s="21" customFormat="1" ht="15.75" customHeight="1" thickBot="1" x14ac:dyDescent="0.3">
      <c r="A26" s="157" t="s">
        <v>13</v>
      </c>
      <c r="B26" s="158"/>
      <c r="C26" s="158"/>
      <c r="D26" s="158"/>
      <c r="E26" s="161"/>
      <c r="F26" s="8">
        <f>F14+F25</f>
        <v>1.1499999999999999</v>
      </c>
      <c r="G26" s="163"/>
      <c r="H26" s="64">
        <f>H14+H25</f>
        <v>0</v>
      </c>
      <c r="I26" s="167"/>
      <c r="J26" s="168"/>
      <c r="K26" s="169"/>
      <c r="L26" s="52">
        <f>L14+L25</f>
        <v>0</v>
      </c>
      <c r="M26" s="171"/>
      <c r="N26" s="68">
        <f>N14+N25</f>
        <v>0</v>
      </c>
      <c r="O26" s="173"/>
      <c r="P26" s="56">
        <f>P14+P25</f>
        <v>0</v>
      </c>
      <c r="S26" s="22"/>
      <c r="T26" s="22"/>
    </row>
    <row r="27" spans="1:23" s="21" customFormat="1" ht="34.5" customHeight="1" thickTop="1" thickBot="1" x14ac:dyDescent="0.3">
      <c r="A27" s="147" t="s">
        <v>23</v>
      </c>
      <c r="B27" s="147"/>
      <c r="C27" s="147"/>
      <c r="D27" s="147"/>
      <c r="E27" s="147"/>
      <c r="F27" s="147"/>
      <c r="G27" s="147"/>
      <c r="H27" s="147"/>
      <c r="I27" s="148"/>
      <c r="J27" s="148"/>
      <c r="K27" s="148"/>
      <c r="L27" s="148"/>
      <c r="M27" s="148"/>
      <c r="N27" s="148"/>
      <c r="O27" s="147"/>
      <c r="P27" s="148"/>
      <c r="S27" s="22"/>
      <c r="T27" s="22"/>
      <c r="U27" s="22"/>
      <c r="V27" s="22"/>
      <c r="W27" s="22"/>
    </row>
    <row r="28" spans="1:23" s="21" customFormat="1" ht="19.5" thickBot="1" x14ac:dyDescent="0.3">
      <c r="A28" s="69" t="s">
        <v>9</v>
      </c>
      <c r="B28" s="69" t="s">
        <v>0</v>
      </c>
      <c r="C28" s="133" t="s">
        <v>28</v>
      </c>
      <c r="D28" s="134"/>
      <c r="E28" s="133" t="s">
        <v>34</v>
      </c>
      <c r="F28" s="134"/>
      <c r="G28" s="135" t="s">
        <v>33</v>
      </c>
      <c r="H28" s="136"/>
      <c r="I28" s="135" t="s">
        <v>29</v>
      </c>
      <c r="J28" s="136"/>
      <c r="K28" s="135" t="s">
        <v>30</v>
      </c>
      <c r="L28" s="136"/>
      <c r="M28" s="135" t="s">
        <v>3</v>
      </c>
      <c r="N28" s="136"/>
      <c r="O28" s="35" t="s">
        <v>19</v>
      </c>
      <c r="P28" s="34" t="s">
        <v>4</v>
      </c>
      <c r="S28" s="22"/>
      <c r="T28" s="22"/>
      <c r="U28" s="22"/>
      <c r="V28" s="22"/>
      <c r="W28" s="22"/>
    </row>
    <row r="29" spans="1:23" s="21" customFormat="1" ht="16.5" thickTop="1" x14ac:dyDescent="0.25">
      <c r="A29" s="13">
        <v>1</v>
      </c>
      <c r="B29" s="14" t="s">
        <v>66</v>
      </c>
      <c r="C29" s="143"/>
      <c r="D29" s="144"/>
      <c r="E29" s="143"/>
      <c r="F29" s="144"/>
      <c r="G29" s="143"/>
      <c r="H29" s="144"/>
      <c r="I29" s="122">
        <f>C29*E29*G29</f>
        <v>0</v>
      </c>
      <c r="J29" s="123"/>
      <c r="K29" s="145"/>
      <c r="L29" s="146"/>
      <c r="M29" s="126">
        <f>K29*I29</f>
        <v>0</v>
      </c>
      <c r="N29" s="127"/>
      <c r="O29" s="5">
        <v>0.85</v>
      </c>
      <c r="P29" s="45">
        <f>M29/O29</f>
        <v>0</v>
      </c>
      <c r="S29" s="22"/>
      <c r="T29" s="22"/>
      <c r="U29" s="22"/>
      <c r="V29" s="22"/>
      <c r="W29" s="22"/>
    </row>
    <row r="30" spans="1:23" s="21" customFormat="1" x14ac:dyDescent="0.25">
      <c r="A30" s="5">
        <v>2</v>
      </c>
      <c r="B30" s="18" t="s">
        <v>67</v>
      </c>
      <c r="C30" s="117"/>
      <c r="D30" s="118"/>
      <c r="E30" s="117"/>
      <c r="F30" s="118"/>
      <c r="G30" s="117"/>
      <c r="H30" s="118"/>
      <c r="I30" s="117">
        <f t="shared" ref="I30:I35" si="10">C30*E30*G30</f>
        <v>0</v>
      </c>
      <c r="J30" s="118"/>
      <c r="K30" s="119"/>
      <c r="L30" s="120"/>
      <c r="M30" s="141">
        <f>K30*I30</f>
        <v>0</v>
      </c>
      <c r="N30" s="142"/>
      <c r="O30" s="5">
        <v>0.85</v>
      </c>
      <c r="P30" s="50">
        <f t="shared" ref="P30:P35" si="11">M30/O30</f>
        <v>0</v>
      </c>
      <c r="S30" s="22"/>
      <c r="T30" s="22"/>
      <c r="U30" s="22"/>
      <c r="V30" s="22"/>
      <c r="W30" s="22"/>
    </row>
    <row r="31" spans="1:23" s="21" customFormat="1" x14ac:dyDescent="0.25">
      <c r="A31" s="5">
        <v>3</v>
      </c>
      <c r="B31" s="18" t="s">
        <v>68</v>
      </c>
      <c r="C31" s="117"/>
      <c r="D31" s="118"/>
      <c r="E31" s="117"/>
      <c r="F31" s="118"/>
      <c r="G31" s="117"/>
      <c r="H31" s="118"/>
      <c r="I31" s="117">
        <f t="shared" si="10"/>
        <v>0</v>
      </c>
      <c r="J31" s="118"/>
      <c r="K31" s="119"/>
      <c r="L31" s="120"/>
      <c r="M31" s="141">
        <f t="shared" ref="M31:M35" si="12">K31*I31</f>
        <v>0</v>
      </c>
      <c r="N31" s="142"/>
      <c r="O31" s="5">
        <v>0.85</v>
      </c>
      <c r="P31" s="50">
        <f t="shared" si="11"/>
        <v>0</v>
      </c>
      <c r="S31" s="22"/>
      <c r="T31" s="22"/>
      <c r="U31" s="22"/>
      <c r="V31" s="22"/>
      <c r="W31" s="22"/>
    </row>
    <row r="32" spans="1:23" s="21" customFormat="1" x14ac:dyDescent="0.25">
      <c r="A32" s="5">
        <v>4</v>
      </c>
      <c r="B32" s="18" t="s">
        <v>69</v>
      </c>
      <c r="C32" s="117"/>
      <c r="D32" s="118"/>
      <c r="E32" s="117"/>
      <c r="F32" s="118"/>
      <c r="G32" s="117"/>
      <c r="H32" s="118"/>
      <c r="I32" s="117">
        <f t="shared" si="10"/>
        <v>0</v>
      </c>
      <c r="J32" s="118"/>
      <c r="K32" s="119"/>
      <c r="L32" s="120"/>
      <c r="M32" s="141">
        <f t="shared" si="12"/>
        <v>0</v>
      </c>
      <c r="N32" s="142"/>
      <c r="O32" s="5">
        <v>0.85</v>
      </c>
      <c r="P32" s="50">
        <f t="shared" si="11"/>
        <v>0</v>
      </c>
      <c r="S32" s="22"/>
      <c r="T32" s="22"/>
      <c r="U32" s="22"/>
      <c r="V32" s="22"/>
      <c r="W32" s="22"/>
    </row>
    <row r="33" spans="1:23" s="21" customFormat="1" x14ac:dyDescent="0.25">
      <c r="A33" s="5">
        <v>5</v>
      </c>
      <c r="B33" s="18" t="s">
        <v>70</v>
      </c>
      <c r="C33" s="117"/>
      <c r="D33" s="118"/>
      <c r="E33" s="117"/>
      <c r="F33" s="118"/>
      <c r="G33" s="117"/>
      <c r="H33" s="118"/>
      <c r="I33" s="117">
        <f t="shared" si="10"/>
        <v>0</v>
      </c>
      <c r="J33" s="118"/>
      <c r="K33" s="119"/>
      <c r="L33" s="120"/>
      <c r="M33" s="141">
        <f t="shared" si="12"/>
        <v>0</v>
      </c>
      <c r="N33" s="142"/>
      <c r="O33" s="5">
        <v>0.85</v>
      </c>
      <c r="P33" s="50">
        <f t="shared" si="11"/>
        <v>0</v>
      </c>
      <c r="S33" s="22"/>
      <c r="T33" s="22"/>
      <c r="U33" s="22"/>
      <c r="V33" s="22"/>
      <c r="W33" s="22"/>
    </row>
    <row r="34" spans="1:23" s="21" customFormat="1" x14ac:dyDescent="0.25">
      <c r="A34" s="5"/>
      <c r="B34" s="18"/>
      <c r="C34" s="117"/>
      <c r="D34" s="118"/>
      <c r="E34" s="117"/>
      <c r="F34" s="118"/>
      <c r="G34" s="117"/>
      <c r="H34" s="118"/>
      <c r="I34" s="117">
        <f t="shared" si="10"/>
        <v>0</v>
      </c>
      <c r="J34" s="118"/>
      <c r="K34" s="119"/>
      <c r="L34" s="120"/>
      <c r="M34" s="141">
        <f t="shared" si="12"/>
        <v>0</v>
      </c>
      <c r="N34" s="142"/>
      <c r="O34" s="5">
        <v>0.85</v>
      </c>
      <c r="P34" s="50">
        <f t="shared" si="11"/>
        <v>0</v>
      </c>
      <c r="S34" s="22"/>
      <c r="T34" s="22"/>
      <c r="U34" s="22"/>
      <c r="V34" s="22"/>
      <c r="W34" s="22"/>
    </row>
    <row r="35" spans="1:23" s="21" customFormat="1" x14ac:dyDescent="0.25">
      <c r="A35" s="5"/>
      <c r="B35" s="18"/>
      <c r="C35" s="117"/>
      <c r="D35" s="118"/>
      <c r="E35" s="117"/>
      <c r="F35" s="118"/>
      <c r="G35" s="117"/>
      <c r="H35" s="118"/>
      <c r="I35" s="137">
        <f t="shared" si="10"/>
        <v>0</v>
      </c>
      <c r="J35" s="138"/>
      <c r="K35" s="119"/>
      <c r="L35" s="120"/>
      <c r="M35" s="139">
        <f t="shared" si="12"/>
        <v>0</v>
      </c>
      <c r="N35" s="140"/>
      <c r="O35" s="5">
        <v>0.85</v>
      </c>
      <c r="P35" s="50">
        <f t="shared" si="11"/>
        <v>0</v>
      </c>
      <c r="S35" s="22"/>
      <c r="T35" s="22"/>
      <c r="U35" s="22"/>
      <c r="V35" s="22"/>
      <c r="W35" s="22"/>
    </row>
    <row r="36" spans="1:23" s="21" customFormat="1" ht="15.75" customHeight="1" thickBot="1" x14ac:dyDescent="0.3">
      <c r="A36" s="128" t="s">
        <v>24</v>
      </c>
      <c r="B36" s="129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56">
        <f>SUM(P29:P35)</f>
        <v>0</v>
      </c>
      <c r="S36" s="22"/>
      <c r="T36" s="22"/>
      <c r="U36" s="22"/>
      <c r="V36" s="22"/>
      <c r="W36" s="22"/>
    </row>
    <row r="37" spans="1:23" ht="34.5" customHeight="1" thickBot="1" x14ac:dyDescent="0.3">
      <c r="A37" s="130" t="s">
        <v>17</v>
      </c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2"/>
      <c r="S37" s="22"/>
      <c r="T37" s="22"/>
      <c r="U37" s="22"/>
      <c r="V37" s="22"/>
      <c r="W37" s="22"/>
    </row>
    <row r="38" spans="1:23" ht="19.5" thickBot="1" x14ac:dyDescent="0.3">
      <c r="A38" s="69" t="s">
        <v>9</v>
      </c>
      <c r="B38" s="69" t="s">
        <v>31</v>
      </c>
      <c r="C38" s="133" t="s">
        <v>28</v>
      </c>
      <c r="D38" s="134"/>
      <c r="E38" s="133" t="s">
        <v>71</v>
      </c>
      <c r="F38" s="134"/>
      <c r="G38" s="135" t="s">
        <v>33</v>
      </c>
      <c r="H38" s="136"/>
      <c r="I38" s="135" t="s">
        <v>29</v>
      </c>
      <c r="J38" s="136"/>
      <c r="K38" s="135" t="s">
        <v>30</v>
      </c>
      <c r="L38" s="136"/>
      <c r="M38" s="135" t="s">
        <v>3</v>
      </c>
      <c r="N38" s="136"/>
      <c r="O38" s="35" t="s">
        <v>19</v>
      </c>
      <c r="P38" s="34" t="s">
        <v>4</v>
      </c>
      <c r="S38" s="22"/>
      <c r="T38" s="22"/>
      <c r="U38" s="22"/>
      <c r="V38" s="22"/>
      <c r="W38" s="22"/>
    </row>
    <row r="39" spans="1:23" ht="16.5" thickTop="1" x14ac:dyDescent="0.25">
      <c r="A39" s="13">
        <v>1</v>
      </c>
      <c r="B39" s="14" t="s">
        <v>72</v>
      </c>
      <c r="C39" s="122"/>
      <c r="D39" s="123"/>
      <c r="E39" s="122"/>
      <c r="F39" s="123"/>
      <c r="G39" s="122"/>
      <c r="H39" s="123"/>
      <c r="I39" s="122">
        <f>G39*E39*C39</f>
        <v>0</v>
      </c>
      <c r="J39" s="123"/>
      <c r="K39" s="124"/>
      <c r="L39" s="125"/>
      <c r="M39" s="126">
        <f>K39*I39</f>
        <v>0</v>
      </c>
      <c r="N39" s="127"/>
      <c r="O39" s="5">
        <v>0.85</v>
      </c>
      <c r="P39" s="70">
        <f>M39/O39</f>
        <v>0</v>
      </c>
      <c r="S39" s="22"/>
      <c r="T39" s="22"/>
      <c r="U39" s="22"/>
      <c r="V39" s="22"/>
      <c r="W39" s="22"/>
    </row>
    <row r="40" spans="1:23" s="22" customFormat="1" x14ac:dyDescent="0.25">
      <c r="A40" s="13">
        <v>2</v>
      </c>
      <c r="B40" s="18" t="s">
        <v>73</v>
      </c>
      <c r="C40" s="117"/>
      <c r="D40" s="118"/>
      <c r="E40" s="117"/>
      <c r="F40" s="118"/>
      <c r="G40" s="117"/>
      <c r="H40" s="118"/>
      <c r="I40" s="117">
        <f t="shared" ref="I40:I61" si="13">G40*E40*C40</f>
        <v>0</v>
      </c>
      <c r="J40" s="118"/>
      <c r="K40" s="119"/>
      <c r="L40" s="120"/>
      <c r="M40" s="141">
        <f t="shared" ref="M40:M57" si="14">K40*I40</f>
        <v>0</v>
      </c>
      <c r="N40" s="142"/>
      <c r="O40" s="5">
        <v>0.85</v>
      </c>
      <c r="P40" s="71">
        <f t="shared" ref="P40:P61" si="15">M40/O40</f>
        <v>0</v>
      </c>
    </row>
    <row r="41" spans="1:23" s="22" customFormat="1" x14ac:dyDescent="0.25">
      <c r="A41" s="13">
        <v>3</v>
      </c>
      <c r="B41" s="18"/>
      <c r="C41" s="117"/>
      <c r="D41" s="118"/>
      <c r="E41" s="117"/>
      <c r="F41" s="118"/>
      <c r="G41" s="117"/>
      <c r="H41" s="118"/>
      <c r="I41" s="117">
        <f t="shared" si="13"/>
        <v>0</v>
      </c>
      <c r="J41" s="118"/>
      <c r="K41" s="119"/>
      <c r="L41" s="120"/>
      <c r="M41" s="141">
        <f t="shared" si="14"/>
        <v>0</v>
      </c>
      <c r="N41" s="142"/>
      <c r="O41" s="5">
        <v>0.85</v>
      </c>
      <c r="P41" s="71">
        <f t="shared" si="15"/>
        <v>0</v>
      </c>
    </row>
    <row r="42" spans="1:23" s="22" customFormat="1" x14ac:dyDescent="0.25">
      <c r="A42" s="13">
        <v>4</v>
      </c>
      <c r="B42" s="18"/>
      <c r="C42" s="117"/>
      <c r="D42" s="118"/>
      <c r="E42" s="117"/>
      <c r="F42" s="118"/>
      <c r="G42" s="117"/>
      <c r="H42" s="118"/>
      <c r="I42" s="117">
        <f t="shared" si="13"/>
        <v>0</v>
      </c>
      <c r="J42" s="118"/>
      <c r="K42" s="119"/>
      <c r="L42" s="120"/>
      <c r="M42" s="141">
        <f t="shared" si="14"/>
        <v>0</v>
      </c>
      <c r="N42" s="142"/>
      <c r="O42" s="5">
        <v>0.85</v>
      </c>
      <c r="P42" s="71">
        <f t="shared" si="15"/>
        <v>0</v>
      </c>
    </row>
    <row r="43" spans="1:23" s="22" customFormat="1" x14ac:dyDescent="0.25">
      <c r="A43" s="13">
        <v>5</v>
      </c>
      <c r="B43" s="18"/>
      <c r="C43" s="117"/>
      <c r="D43" s="118"/>
      <c r="E43" s="117"/>
      <c r="F43" s="118"/>
      <c r="G43" s="117"/>
      <c r="H43" s="118"/>
      <c r="I43" s="117">
        <f t="shared" si="13"/>
        <v>0</v>
      </c>
      <c r="J43" s="118"/>
      <c r="K43" s="119"/>
      <c r="L43" s="120"/>
      <c r="M43" s="141">
        <f t="shared" si="14"/>
        <v>0</v>
      </c>
      <c r="N43" s="142"/>
      <c r="O43" s="5">
        <v>0.85</v>
      </c>
      <c r="P43" s="71">
        <f t="shared" si="15"/>
        <v>0</v>
      </c>
    </row>
    <row r="44" spans="1:23" s="22" customFormat="1" x14ac:dyDescent="0.25">
      <c r="A44" s="13">
        <v>6</v>
      </c>
      <c r="B44" s="18"/>
      <c r="C44" s="117"/>
      <c r="D44" s="118"/>
      <c r="E44" s="117"/>
      <c r="F44" s="118"/>
      <c r="G44" s="117"/>
      <c r="H44" s="118"/>
      <c r="I44" s="117">
        <f t="shared" si="13"/>
        <v>0</v>
      </c>
      <c r="J44" s="118"/>
      <c r="K44" s="119"/>
      <c r="L44" s="120"/>
      <c r="M44" s="141">
        <f t="shared" si="14"/>
        <v>0</v>
      </c>
      <c r="N44" s="142"/>
      <c r="O44" s="5">
        <v>0.85</v>
      </c>
      <c r="P44" s="71">
        <f t="shared" si="15"/>
        <v>0</v>
      </c>
    </row>
    <row r="45" spans="1:23" s="22" customFormat="1" x14ac:dyDescent="0.25">
      <c r="A45" s="13">
        <v>7</v>
      </c>
      <c r="B45" s="18"/>
      <c r="C45" s="117"/>
      <c r="D45" s="118"/>
      <c r="E45" s="117"/>
      <c r="F45" s="118"/>
      <c r="G45" s="117"/>
      <c r="H45" s="118"/>
      <c r="I45" s="117">
        <f t="shared" si="13"/>
        <v>0</v>
      </c>
      <c r="J45" s="118"/>
      <c r="K45" s="119"/>
      <c r="L45" s="120"/>
      <c r="M45" s="141">
        <f t="shared" si="14"/>
        <v>0</v>
      </c>
      <c r="N45" s="142"/>
      <c r="O45" s="5">
        <v>0.85</v>
      </c>
      <c r="P45" s="71">
        <f t="shared" si="15"/>
        <v>0</v>
      </c>
    </row>
    <row r="46" spans="1:23" s="22" customFormat="1" x14ac:dyDescent="0.25">
      <c r="A46" s="13">
        <v>8</v>
      </c>
      <c r="B46" s="18"/>
      <c r="C46" s="117"/>
      <c r="D46" s="118"/>
      <c r="E46" s="117"/>
      <c r="F46" s="118"/>
      <c r="G46" s="117"/>
      <c r="H46" s="118"/>
      <c r="I46" s="117">
        <f t="shared" si="13"/>
        <v>0</v>
      </c>
      <c r="J46" s="118"/>
      <c r="K46" s="119"/>
      <c r="L46" s="120"/>
      <c r="M46" s="141">
        <f t="shared" si="14"/>
        <v>0</v>
      </c>
      <c r="N46" s="142"/>
      <c r="O46" s="5">
        <v>0.85</v>
      </c>
      <c r="P46" s="71">
        <f t="shared" si="15"/>
        <v>0</v>
      </c>
    </row>
    <row r="47" spans="1:23" s="22" customFormat="1" x14ac:dyDescent="0.25">
      <c r="A47" s="13">
        <v>9</v>
      </c>
      <c r="B47" s="18"/>
      <c r="C47" s="117"/>
      <c r="D47" s="118"/>
      <c r="E47" s="117"/>
      <c r="F47" s="118"/>
      <c r="G47" s="117"/>
      <c r="H47" s="118"/>
      <c r="I47" s="117">
        <f t="shared" si="13"/>
        <v>0</v>
      </c>
      <c r="J47" s="118"/>
      <c r="K47" s="119"/>
      <c r="L47" s="120"/>
      <c r="M47" s="141">
        <f t="shared" si="14"/>
        <v>0</v>
      </c>
      <c r="N47" s="142"/>
      <c r="O47" s="5">
        <v>0.85</v>
      </c>
      <c r="P47" s="71">
        <f t="shared" si="15"/>
        <v>0</v>
      </c>
    </row>
    <row r="48" spans="1:23" s="22" customFormat="1" x14ac:dyDescent="0.25">
      <c r="A48" s="13">
        <v>10</v>
      </c>
      <c r="B48" s="18"/>
      <c r="C48" s="117"/>
      <c r="D48" s="118"/>
      <c r="E48" s="117"/>
      <c r="F48" s="118"/>
      <c r="G48" s="117"/>
      <c r="H48" s="118"/>
      <c r="I48" s="117">
        <f t="shared" si="13"/>
        <v>0</v>
      </c>
      <c r="J48" s="118"/>
      <c r="K48" s="119"/>
      <c r="L48" s="120"/>
      <c r="M48" s="141">
        <f t="shared" si="14"/>
        <v>0</v>
      </c>
      <c r="N48" s="142"/>
      <c r="O48" s="5">
        <v>0.85</v>
      </c>
      <c r="P48" s="71">
        <f t="shared" si="15"/>
        <v>0</v>
      </c>
    </row>
    <row r="49" spans="1:23" s="22" customFormat="1" x14ac:dyDescent="0.25">
      <c r="A49" s="13">
        <v>11</v>
      </c>
      <c r="B49" s="18"/>
      <c r="C49" s="117"/>
      <c r="D49" s="118"/>
      <c r="E49" s="117"/>
      <c r="F49" s="118"/>
      <c r="G49" s="117"/>
      <c r="H49" s="118"/>
      <c r="I49" s="117">
        <f t="shared" si="13"/>
        <v>0</v>
      </c>
      <c r="J49" s="118"/>
      <c r="K49" s="119"/>
      <c r="L49" s="120"/>
      <c r="M49" s="141">
        <f t="shared" si="14"/>
        <v>0</v>
      </c>
      <c r="N49" s="142"/>
      <c r="O49" s="5">
        <v>0.85</v>
      </c>
      <c r="P49" s="71">
        <f t="shared" si="15"/>
        <v>0</v>
      </c>
    </row>
    <row r="50" spans="1:23" s="22" customFormat="1" x14ac:dyDescent="0.25">
      <c r="A50" s="13">
        <v>12</v>
      </c>
      <c r="B50" s="18"/>
      <c r="C50" s="117"/>
      <c r="D50" s="118"/>
      <c r="E50" s="117"/>
      <c r="F50" s="118"/>
      <c r="G50" s="117"/>
      <c r="H50" s="118"/>
      <c r="I50" s="117">
        <f t="shared" si="13"/>
        <v>0</v>
      </c>
      <c r="J50" s="118"/>
      <c r="K50" s="119"/>
      <c r="L50" s="120"/>
      <c r="M50" s="141">
        <f t="shared" si="14"/>
        <v>0</v>
      </c>
      <c r="N50" s="142"/>
      <c r="O50" s="5">
        <v>0.85</v>
      </c>
      <c r="P50" s="71">
        <f t="shared" si="15"/>
        <v>0</v>
      </c>
    </row>
    <row r="51" spans="1:23" s="22" customFormat="1" x14ac:dyDescent="0.25">
      <c r="A51" s="13">
        <v>13</v>
      </c>
      <c r="B51" s="18" t="s">
        <v>74</v>
      </c>
      <c r="C51" s="117"/>
      <c r="D51" s="118"/>
      <c r="E51" s="117"/>
      <c r="F51" s="118"/>
      <c r="G51" s="117"/>
      <c r="H51" s="118"/>
      <c r="I51" s="117">
        <f t="shared" si="13"/>
        <v>0</v>
      </c>
      <c r="J51" s="118"/>
      <c r="K51" s="119"/>
      <c r="L51" s="120"/>
      <c r="M51" s="141">
        <f t="shared" si="14"/>
        <v>0</v>
      </c>
      <c r="N51" s="142"/>
      <c r="O51" s="5">
        <v>0.85</v>
      </c>
      <c r="P51" s="71">
        <f t="shared" si="15"/>
        <v>0</v>
      </c>
    </row>
    <row r="52" spans="1:23" s="22" customFormat="1" x14ac:dyDescent="0.25">
      <c r="A52" s="13">
        <v>14</v>
      </c>
      <c r="B52" s="18" t="s">
        <v>75</v>
      </c>
      <c r="C52" s="117"/>
      <c r="D52" s="118"/>
      <c r="E52" s="117"/>
      <c r="F52" s="118"/>
      <c r="G52" s="117"/>
      <c r="H52" s="118"/>
      <c r="I52" s="117">
        <f t="shared" si="13"/>
        <v>0</v>
      </c>
      <c r="J52" s="118"/>
      <c r="K52" s="119"/>
      <c r="L52" s="120"/>
      <c r="M52" s="141">
        <f t="shared" si="14"/>
        <v>0</v>
      </c>
      <c r="N52" s="142"/>
      <c r="O52" s="5">
        <v>0.85</v>
      </c>
      <c r="P52" s="71">
        <f t="shared" si="15"/>
        <v>0</v>
      </c>
    </row>
    <row r="53" spans="1:23" s="22" customFormat="1" x14ac:dyDescent="0.25">
      <c r="A53" s="13">
        <v>15</v>
      </c>
      <c r="B53" s="72" t="s">
        <v>76</v>
      </c>
      <c r="C53" s="117"/>
      <c r="D53" s="118"/>
      <c r="E53" s="117"/>
      <c r="F53" s="118"/>
      <c r="G53" s="117"/>
      <c r="H53" s="118"/>
      <c r="I53" s="117">
        <f t="shared" si="13"/>
        <v>0</v>
      </c>
      <c r="J53" s="118"/>
      <c r="K53" s="119"/>
      <c r="L53" s="120"/>
      <c r="M53" s="141">
        <f t="shared" si="14"/>
        <v>0</v>
      </c>
      <c r="N53" s="142"/>
      <c r="O53" s="5">
        <v>0.85</v>
      </c>
      <c r="P53" s="71">
        <f>M53/O53</f>
        <v>0</v>
      </c>
    </row>
    <row r="54" spans="1:23" s="22" customFormat="1" x14ac:dyDescent="0.25">
      <c r="A54" s="13">
        <v>16</v>
      </c>
      <c r="B54" s="72" t="s">
        <v>77</v>
      </c>
      <c r="C54" s="117"/>
      <c r="D54" s="118"/>
      <c r="E54" s="117"/>
      <c r="F54" s="118"/>
      <c r="G54" s="117"/>
      <c r="H54" s="118"/>
      <c r="I54" s="117">
        <f t="shared" si="13"/>
        <v>0</v>
      </c>
      <c r="J54" s="118"/>
      <c r="K54" s="119"/>
      <c r="L54" s="120"/>
      <c r="M54" s="141">
        <f t="shared" si="14"/>
        <v>0</v>
      </c>
      <c r="N54" s="142"/>
      <c r="O54" s="5">
        <v>0.85</v>
      </c>
      <c r="P54" s="71">
        <f t="shared" si="15"/>
        <v>0</v>
      </c>
    </row>
    <row r="55" spans="1:23" s="22" customFormat="1" x14ac:dyDescent="0.25">
      <c r="A55" s="13">
        <v>17</v>
      </c>
      <c r="B55" s="72" t="s">
        <v>78</v>
      </c>
      <c r="C55" s="117"/>
      <c r="D55" s="118"/>
      <c r="E55" s="117"/>
      <c r="F55" s="118"/>
      <c r="G55" s="117"/>
      <c r="H55" s="118"/>
      <c r="I55" s="117">
        <f t="shared" si="13"/>
        <v>0</v>
      </c>
      <c r="J55" s="118"/>
      <c r="K55" s="119"/>
      <c r="L55" s="120"/>
      <c r="M55" s="141">
        <f t="shared" si="14"/>
        <v>0</v>
      </c>
      <c r="N55" s="142"/>
      <c r="O55" s="5">
        <v>0.85</v>
      </c>
      <c r="P55" s="71">
        <f t="shared" si="15"/>
        <v>0</v>
      </c>
    </row>
    <row r="56" spans="1:23" s="22" customFormat="1" x14ac:dyDescent="0.25">
      <c r="A56" s="13">
        <v>18</v>
      </c>
      <c r="B56" s="72" t="s">
        <v>79</v>
      </c>
      <c r="C56" s="117"/>
      <c r="D56" s="118"/>
      <c r="E56" s="117"/>
      <c r="F56" s="118"/>
      <c r="G56" s="117"/>
      <c r="H56" s="118"/>
      <c r="I56" s="117">
        <f t="shared" si="13"/>
        <v>0</v>
      </c>
      <c r="J56" s="118"/>
      <c r="K56" s="119"/>
      <c r="L56" s="120"/>
      <c r="M56" s="141">
        <f t="shared" si="14"/>
        <v>0</v>
      </c>
      <c r="N56" s="142"/>
      <c r="O56" s="5">
        <v>0.85</v>
      </c>
      <c r="P56" s="71">
        <f t="shared" si="15"/>
        <v>0</v>
      </c>
    </row>
    <row r="57" spans="1:23" s="22" customFormat="1" x14ac:dyDescent="0.25">
      <c r="A57" s="13">
        <v>19</v>
      </c>
      <c r="B57" s="72" t="s">
        <v>80</v>
      </c>
      <c r="C57" s="117"/>
      <c r="D57" s="118"/>
      <c r="E57" s="117"/>
      <c r="F57" s="118"/>
      <c r="G57" s="117"/>
      <c r="H57" s="118"/>
      <c r="I57" s="117">
        <f t="shared" si="13"/>
        <v>0</v>
      </c>
      <c r="J57" s="118"/>
      <c r="K57" s="119"/>
      <c r="L57" s="120"/>
      <c r="M57" s="141">
        <f t="shared" si="14"/>
        <v>0</v>
      </c>
      <c r="N57" s="142"/>
      <c r="O57" s="5">
        <v>0.85</v>
      </c>
      <c r="P57" s="71">
        <f t="shared" si="15"/>
        <v>0</v>
      </c>
    </row>
    <row r="58" spans="1:23" s="22" customFormat="1" ht="31.5" x14ac:dyDescent="0.25">
      <c r="A58" s="13">
        <v>20</v>
      </c>
      <c r="B58" s="72" t="s">
        <v>81</v>
      </c>
      <c r="C58" s="117"/>
      <c r="D58" s="118"/>
      <c r="E58" s="117"/>
      <c r="F58" s="118"/>
      <c r="G58" s="117"/>
      <c r="H58" s="118"/>
      <c r="I58" s="117">
        <f t="shared" si="13"/>
        <v>0</v>
      </c>
      <c r="J58" s="118"/>
      <c r="K58" s="119"/>
      <c r="L58" s="120"/>
      <c r="M58" s="141">
        <f>K58*I58</f>
        <v>0</v>
      </c>
      <c r="N58" s="142"/>
      <c r="O58" s="5">
        <v>0.85</v>
      </c>
      <c r="P58" s="71">
        <f t="shared" si="15"/>
        <v>0</v>
      </c>
    </row>
    <row r="59" spans="1:23" s="22" customFormat="1" x14ac:dyDescent="0.25">
      <c r="A59" s="13">
        <v>27</v>
      </c>
      <c r="B59" s="72" t="s">
        <v>37</v>
      </c>
      <c r="C59" s="117"/>
      <c r="D59" s="118"/>
      <c r="E59" s="117"/>
      <c r="F59" s="118"/>
      <c r="G59" s="117"/>
      <c r="H59" s="118"/>
      <c r="I59" s="117">
        <f t="shared" si="13"/>
        <v>0</v>
      </c>
      <c r="J59" s="118"/>
      <c r="K59" s="119"/>
      <c r="L59" s="120"/>
      <c r="M59" s="121">
        <f>K59*I59</f>
        <v>0</v>
      </c>
      <c r="N59" s="121"/>
      <c r="O59" s="5">
        <v>0.85</v>
      </c>
      <c r="P59" s="71">
        <f>M59/O59</f>
        <v>0</v>
      </c>
    </row>
    <row r="60" spans="1:23" x14ac:dyDescent="0.25">
      <c r="A60" s="13">
        <v>28</v>
      </c>
      <c r="B60" s="18"/>
      <c r="C60" s="117"/>
      <c r="D60" s="118"/>
      <c r="E60" s="117"/>
      <c r="F60" s="118"/>
      <c r="G60" s="117"/>
      <c r="H60" s="118"/>
      <c r="I60" s="117">
        <f t="shared" si="13"/>
        <v>0</v>
      </c>
      <c r="J60" s="118"/>
      <c r="K60" s="119"/>
      <c r="L60" s="120"/>
      <c r="M60" s="121">
        <f t="shared" ref="M60:M61" si="16">K60*I60</f>
        <v>0</v>
      </c>
      <c r="N60" s="121"/>
      <c r="O60" s="5">
        <v>0.85</v>
      </c>
      <c r="P60" s="71">
        <f>M60/O60</f>
        <v>0</v>
      </c>
      <c r="S60" s="22"/>
      <c r="T60" s="22"/>
      <c r="U60" s="22"/>
      <c r="V60" s="22"/>
      <c r="W60" s="22"/>
    </row>
    <row r="61" spans="1:23" x14ac:dyDescent="0.25">
      <c r="A61" s="13">
        <v>29</v>
      </c>
      <c r="B61" s="4"/>
      <c r="C61" s="117"/>
      <c r="D61" s="118"/>
      <c r="E61" s="117"/>
      <c r="F61" s="118"/>
      <c r="G61" s="117"/>
      <c r="H61" s="118"/>
      <c r="I61" s="117">
        <f t="shared" si="13"/>
        <v>0</v>
      </c>
      <c r="J61" s="118"/>
      <c r="K61" s="119"/>
      <c r="L61" s="120"/>
      <c r="M61" s="121">
        <f t="shared" si="16"/>
        <v>0</v>
      </c>
      <c r="N61" s="121"/>
      <c r="O61" s="5">
        <v>0.85</v>
      </c>
      <c r="P61" s="71">
        <f t="shared" si="15"/>
        <v>0</v>
      </c>
      <c r="S61" s="22"/>
      <c r="T61" s="73"/>
      <c r="U61" s="22"/>
      <c r="V61" s="22"/>
      <c r="W61" s="22"/>
    </row>
    <row r="62" spans="1:23" s="21" customFormat="1" ht="16.5" thickBot="1" x14ac:dyDescent="0.3">
      <c r="A62" s="109" t="s">
        <v>16</v>
      </c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74">
        <f>SUM(P39:P61)</f>
        <v>0</v>
      </c>
      <c r="S62" s="22"/>
      <c r="T62" s="22"/>
      <c r="U62" s="22"/>
      <c r="V62" s="22"/>
      <c r="W62" s="22"/>
    </row>
    <row r="63" spans="1:23" ht="16.5" thickTop="1" x14ac:dyDescent="0.25">
      <c r="A63" s="111"/>
      <c r="B63" s="112"/>
      <c r="C63" s="112"/>
      <c r="D63" s="112"/>
      <c r="E63" s="112"/>
      <c r="F63" s="112"/>
      <c r="G63" s="112"/>
      <c r="H63" s="112"/>
      <c r="I63" s="112"/>
      <c r="J63" s="112"/>
      <c r="K63" s="112"/>
      <c r="L63" s="112"/>
      <c r="M63" s="112"/>
      <c r="N63" s="112"/>
      <c r="O63" s="112"/>
      <c r="P63" s="113"/>
      <c r="S63" s="22"/>
      <c r="T63" s="22"/>
      <c r="U63" s="22"/>
      <c r="V63" s="22"/>
      <c r="W63" s="22"/>
    </row>
    <row r="64" spans="1:23" x14ac:dyDescent="0.25">
      <c r="A64" s="114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6"/>
      <c r="S64" s="22"/>
      <c r="T64" s="22"/>
      <c r="U64" s="22"/>
      <c r="V64" s="22"/>
      <c r="W64" s="22"/>
    </row>
    <row r="65" spans="1:23" x14ac:dyDescent="0.25">
      <c r="A65" s="98" t="s">
        <v>14</v>
      </c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100"/>
      <c r="P65" s="75">
        <f>P26+P36+P62</f>
        <v>0</v>
      </c>
      <c r="S65" s="22"/>
      <c r="T65" s="22"/>
      <c r="U65" s="22"/>
      <c r="V65" s="22"/>
      <c r="W65" s="22"/>
    </row>
    <row r="66" spans="1:23" x14ac:dyDescent="0.25">
      <c r="A66" s="98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100"/>
      <c r="S66" s="22"/>
      <c r="T66" s="22"/>
      <c r="U66" s="22"/>
      <c r="V66" s="22"/>
      <c r="W66" s="22"/>
    </row>
    <row r="67" spans="1:23" x14ac:dyDescent="0.25">
      <c r="A67" s="98" t="s">
        <v>15</v>
      </c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100"/>
      <c r="P67" s="75">
        <v>0</v>
      </c>
      <c r="S67" s="22"/>
      <c r="T67" s="22"/>
      <c r="U67" s="22"/>
      <c r="V67" s="22"/>
      <c r="W67" s="22"/>
    </row>
    <row r="68" spans="1:23" x14ac:dyDescent="0.25">
      <c r="A68" s="98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100"/>
      <c r="S68" s="22"/>
      <c r="T68" s="22"/>
      <c r="U68" s="22"/>
      <c r="V68" s="22"/>
      <c r="W68" s="22"/>
    </row>
    <row r="69" spans="1:23" x14ac:dyDescent="0.25">
      <c r="A69" s="103" t="s">
        <v>20</v>
      </c>
      <c r="B69" s="103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75">
        <v>0</v>
      </c>
      <c r="S69" s="22"/>
      <c r="T69" s="22"/>
      <c r="U69" s="22"/>
      <c r="V69" s="22"/>
      <c r="W69" s="22"/>
    </row>
    <row r="70" spans="1:23" x14ac:dyDescent="0.25">
      <c r="A70" s="98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100"/>
      <c r="S70" s="22"/>
      <c r="T70" s="22"/>
      <c r="U70" s="22"/>
      <c r="V70" s="22"/>
      <c r="W70" s="22"/>
    </row>
    <row r="71" spans="1:23" x14ac:dyDescent="0.25">
      <c r="A71" s="104" t="s">
        <v>49</v>
      </c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76">
        <v>0</v>
      </c>
      <c r="S71" s="22"/>
      <c r="T71" s="22"/>
      <c r="U71" s="22"/>
      <c r="V71" s="22"/>
      <c r="W71" s="22"/>
    </row>
    <row r="72" spans="1:23" x14ac:dyDescent="0.25">
      <c r="A72" s="105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7"/>
      <c r="S72" s="22"/>
      <c r="T72" s="22"/>
      <c r="U72" s="22"/>
      <c r="V72" s="22"/>
      <c r="W72" s="22"/>
    </row>
    <row r="73" spans="1:23" x14ac:dyDescent="0.25">
      <c r="A73" s="98" t="s">
        <v>10</v>
      </c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100"/>
      <c r="P73" s="75">
        <f>SUM(P65,P67,P69, P71)</f>
        <v>0</v>
      </c>
      <c r="S73" s="22"/>
      <c r="T73" s="73"/>
      <c r="U73" s="22"/>
      <c r="V73" s="22"/>
      <c r="W73" s="22"/>
    </row>
    <row r="74" spans="1:23" x14ac:dyDescent="0.25">
      <c r="A74" s="98" t="s">
        <v>21</v>
      </c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100"/>
      <c r="P74" s="75">
        <f>P73*0.13</f>
        <v>0</v>
      </c>
    </row>
    <row r="75" spans="1:23" x14ac:dyDescent="0.25">
      <c r="A75" s="98" t="s">
        <v>22</v>
      </c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100"/>
      <c r="P75" s="75">
        <f>P73+P74</f>
        <v>0</v>
      </c>
    </row>
    <row r="76" spans="1:23" x14ac:dyDescent="0.25">
      <c r="A76" s="27" t="s">
        <v>35</v>
      </c>
      <c r="P76" s="29">
        <f>P73*1.13</f>
        <v>0</v>
      </c>
    </row>
    <row r="84" spans="2:11" ht="16.5" thickBot="1" x14ac:dyDescent="0.3"/>
    <row r="85" spans="2:11" ht="32.25" thickBot="1" x14ac:dyDescent="0.3">
      <c r="B85" s="27" t="s">
        <v>91</v>
      </c>
      <c r="C85" s="81" t="s">
        <v>92</v>
      </c>
      <c r="D85" s="93" t="s">
        <v>93</v>
      </c>
      <c r="E85" s="93"/>
      <c r="F85" s="82" t="s">
        <v>94</v>
      </c>
      <c r="G85" s="82" t="s">
        <v>95</v>
      </c>
      <c r="H85" s="83" t="s">
        <v>96</v>
      </c>
      <c r="I85" s="83" t="s">
        <v>97</v>
      </c>
    </row>
    <row r="86" spans="2:11" x14ac:dyDescent="0.25">
      <c r="B86" s="77" t="s">
        <v>98</v>
      </c>
      <c r="C86" s="84">
        <v>98.21</v>
      </c>
      <c r="D86" s="108">
        <f>(C86+17)</f>
        <v>115.21</v>
      </c>
      <c r="E86" s="108"/>
      <c r="F86" s="85">
        <v>196.41</v>
      </c>
      <c r="G86" s="85">
        <f>(F86+17)</f>
        <v>213.41</v>
      </c>
      <c r="H86" s="86">
        <v>112.94</v>
      </c>
      <c r="I86" s="87">
        <f>H86+17</f>
        <v>129.94</v>
      </c>
      <c r="J86" s="63"/>
      <c r="K86" s="63"/>
    </row>
    <row r="87" spans="2:11" x14ac:dyDescent="0.25">
      <c r="B87" s="77" t="s">
        <v>99</v>
      </c>
      <c r="C87" s="88">
        <v>87.65</v>
      </c>
      <c r="D87" s="97">
        <f>(C87+17)</f>
        <v>104.65</v>
      </c>
      <c r="E87" s="97"/>
      <c r="F87" s="89">
        <v>175.31</v>
      </c>
      <c r="G87" s="89">
        <f>(F87+17)</f>
        <v>192.31</v>
      </c>
      <c r="H87" s="90">
        <v>100.8</v>
      </c>
      <c r="I87" s="91">
        <f>H87+17</f>
        <v>117.8</v>
      </c>
      <c r="J87" s="63"/>
      <c r="K87" s="63"/>
    </row>
    <row r="88" spans="2:11" x14ac:dyDescent="0.25">
      <c r="B88" s="77" t="s">
        <v>100</v>
      </c>
      <c r="C88" s="88">
        <v>71.38</v>
      </c>
      <c r="D88" s="97">
        <f t="shared" ref="D88:D92" si="17">(C88+17)</f>
        <v>88.38</v>
      </c>
      <c r="E88" s="97"/>
      <c r="F88" s="89">
        <v>142.72999999999999</v>
      </c>
      <c r="G88" s="89">
        <f t="shared" ref="G88:G92" si="18">(F88+17)</f>
        <v>159.72999999999999</v>
      </c>
      <c r="H88" s="90">
        <v>82.09</v>
      </c>
      <c r="I88" s="91">
        <f t="shared" ref="I88:I92" si="19">H88+17</f>
        <v>99.09</v>
      </c>
      <c r="J88" s="63"/>
      <c r="K88" s="63"/>
    </row>
    <row r="89" spans="2:11" x14ac:dyDescent="0.25">
      <c r="B89" s="77" t="s">
        <v>101</v>
      </c>
      <c r="C89" s="88">
        <v>63.34</v>
      </c>
      <c r="D89" s="97">
        <f t="shared" si="17"/>
        <v>80.34</v>
      </c>
      <c r="E89" s="97"/>
      <c r="F89" s="89">
        <v>126.7</v>
      </c>
      <c r="G89" s="89">
        <f t="shared" si="18"/>
        <v>143.69999999999999</v>
      </c>
      <c r="H89" s="90">
        <v>72.84</v>
      </c>
      <c r="I89" s="91">
        <f t="shared" si="19"/>
        <v>89.84</v>
      </c>
      <c r="J89" s="63"/>
      <c r="K89" s="63"/>
    </row>
    <row r="90" spans="2:11" x14ac:dyDescent="0.25">
      <c r="B90" s="77" t="s">
        <v>102</v>
      </c>
      <c r="C90" s="88">
        <v>55.33</v>
      </c>
      <c r="D90" s="97">
        <f t="shared" si="17"/>
        <v>72.33</v>
      </c>
      <c r="E90" s="97"/>
      <c r="F90" s="89">
        <v>110.64</v>
      </c>
      <c r="G90" s="89">
        <f t="shared" si="18"/>
        <v>127.64</v>
      </c>
      <c r="H90" s="90">
        <v>63.63</v>
      </c>
      <c r="I90" s="91">
        <f t="shared" si="19"/>
        <v>80.63</v>
      </c>
      <c r="J90" s="63"/>
      <c r="K90" s="63"/>
    </row>
    <row r="91" spans="2:11" x14ac:dyDescent="0.25">
      <c r="B91" s="77" t="s">
        <v>103</v>
      </c>
      <c r="C91" s="88">
        <v>47.3</v>
      </c>
      <c r="D91" s="97">
        <f t="shared" si="17"/>
        <v>64.3</v>
      </c>
      <c r="E91" s="97"/>
      <c r="F91" s="89">
        <v>94.59</v>
      </c>
      <c r="G91" s="89">
        <f t="shared" si="18"/>
        <v>111.59</v>
      </c>
      <c r="H91" s="90">
        <v>54.4</v>
      </c>
      <c r="I91" s="91">
        <f t="shared" si="19"/>
        <v>71.400000000000006</v>
      </c>
      <c r="J91" s="63"/>
      <c r="K91" s="63"/>
    </row>
    <row r="92" spans="2:11" x14ac:dyDescent="0.25">
      <c r="B92" s="77" t="s">
        <v>104</v>
      </c>
      <c r="C92" s="88">
        <v>39.25</v>
      </c>
      <c r="D92" s="97">
        <f t="shared" si="17"/>
        <v>56.25</v>
      </c>
      <c r="E92" s="97"/>
      <c r="F92" s="89">
        <v>78.489999999999995</v>
      </c>
      <c r="G92" s="89">
        <f t="shared" si="18"/>
        <v>95.49</v>
      </c>
      <c r="H92" s="90">
        <v>45.14</v>
      </c>
      <c r="I92" s="91">
        <f t="shared" si="19"/>
        <v>62.14</v>
      </c>
      <c r="J92" s="63"/>
      <c r="K92" s="63"/>
    </row>
    <row r="93" spans="2:11" ht="16.5" thickBot="1" x14ac:dyDescent="0.3">
      <c r="D93" s="101"/>
      <c r="E93" s="102"/>
    </row>
    <row r="94" spans="2:11" ht="32.25" thickBot="1" x14ac:dyDescent="0.3">
      <c r="B94" s="27" t="s">
        <v>105</v>
      </c>
      <c r="C94" s="81" t="s">
        <v>92</v>
      </c>
      <c r="D94" s="93" t="s">
        <v>93</v>
      </c>
      <c r="E94" s="93"/>
      <c r="F94" s="82" t="s">
        <v>94</v>
      </c>
      <c r="G94" s="82" t="s">
        <v>95</v>
      </c>
      <c r="H94" s="83" t="s">
        <v>96</v>
      </c>
      <c r="I94" s="83" t="s">
        <v>97</v>
      </c>
      <c r="K94" s="33" t="s">
        <v>19</v>
      </c>
    </row>
    <row r="95" spans="2:11" x14ac:dyDescent="0.25">
      <c r="B95" s="77" t="s">
        <v>98</v>
      </c>
      <c r="C95" s="92">
        <f>C86/$K$95</f>
        <v>122.76249999999999</v>
      </c>
      <c r="D95" s="94">
        <f>D86/$K$95</f>
        <v>144.01249999999999</v>
      </c>
      <c r="E95" s="95"/>
      <c r="F95" s="92">
        <f>F86/$K$95</f>
        <v>245.51249999999999</v>
      </c>
      <c r="G95" s="92">
        <f>G86/$K$95</f>
        <v>266.76249999999999</v>
      </c>
      <c r="H95" s="92">
        <f>H86/$K$95</f>
        <v>141.17499999999998</v>
      </c>
      <c r="I95" s="92">
        <f>I86/$K$95</f>
        <v>162.42499999999998</v>
      </c>
      <c r="K95" s="5">
        <v>0.8</v>
      </c>
    </row>
    <row r="96" spans="2:11" x14ac:dyDescent="0.25">
      <c r="B96" s="77" t="s">
        <v>99</v>
      </c>
      <c r="C96" s="92">
        <f t="shared" ref="C96:D101" si="20">C87/$K$95</f>
        <v>109.5625</v>
      </c>
      <c r="D96" s="97">
        <f t="shared" si="20"/>
        <v>130.8125</v>
      </c>
      <c r="E96" s="97"/>
      <c r="F96" s="92">
        <f t="shared" ref="F96:I101" si="21">F87/$K$95</f>
        <v>219.13749999999999</v>
      </c>
      <c r="G96" s="92">
        <f t="shared" si="21"/>
        <v>240.38749999999999</v>
      </c>
      <c r="H96" s="92">
        <f t="shared" si="21"/>
        <v>125.99999999999999</v>
      </c>
      <c r="I96" s="92">
        <f t="shared" si="21"/>
        <v>147.25</v>
      </c>
    </row>
    <row r="97" spans="2:9" x14ac:dyDescent="0.25">
      <c r="B97" s="77" t="s">
        <v>100</v>
      </c>
      <c r="C97" s="92">
        <f t="shared" si="20"/>
        <v>89.224999999999994</v>
      </c>
      <c r="D97" s="97">
        <f t="shared" si="20"/>
        <v>110.47499999999999</v>
      </c>
      <c r="E97" s="97"/>
      <c r="F97" s="92">
        <f t="shared" si="21"/>
        <v>178.41249999999997</v>
      </c>
      <c r="G97" s="92">
        <f t="shared" si="21"/>
        <v>199.66249999999997</v>
      </c>
      <c r="H97" s="92">
        <f t="shared" si="21"/>
        <v>102.6125</v>
      </c>
      <c r="I97" s="92">
        <f t="shared" si="21"/>
        <v>123.8625</v>
      </c>
    </row>
    <row r="98" spans="2:9" x14ac:dyDescent="0.25">
      <c r="B98" s="77" t="s">
        <v>101</v>
      </c>
      <c r="C98" s="92">
        <f t="shared" si="20"/>
        <v>79.174999999999997</v>
      </c>
      <c r="D98" s="97">
        <f t="shared" si="20"/>
        <v>100.425</v>
      </c>
      <c r="E98" s="97"/>
      <c r="F98" s="92">
        <f t="shared" si="21"/>
        <v>158.375</v>
      </c>
      <c r="G98" s="92">
        <f t="shared" si="21"/>
        <v>179.62499999999997</v>
      </c>
      <c r="H98" s="92">
        <f t="shared" si="21"/>
        <v>91.05</v>
      </c>
      <c r="I98" s="92">
        <f t="shared" si="21"/>
        <v>112.3</v>
      </c>
    </row>
    <row r="99" spans="2:9" x14ac:dyDescent="0.25">
      <c r="B99" s="77" t="s">
        <v>102</v>
      </c>
      <c r="C99" s="92">
        <f t="shared" si="20"/>
        <v>69.162499999999994</v>
      </c>
      <c r="D99" s="97">
        <f t="shared" si="20"/>
        <v>90.412499999999994</v>
      </c>
      <c r="E99" s="97"/>
      <c r="F99" s="92">
        <f t="shared" si="21"/>
        <v>138.29999999999998</v>
      </c>
      <c r="G99" s="92">
        <f t="shared" si="21"/>
        <v>159.54999999999998</v>
      </c>
      <c r="H99" s="92">
        <f t="shared" si="21"/>
        <v>79.537499999999994</v>
      </c>
      <c r="I99" s="92">
        <f t="shared" si="21"/>
        <v>100.78749999999999</v>
      </c>
    </row>
    <row r="100" spans="2:9" x14ac:dyDescent="0.25">
      <c r="B100" s="77" t="s">
        <v>103</v>
      </c>
      <c r="C100" s="92">
        <f t="shared" si="20"/>
        <v>59.124999999999993</v>
      </c>
      <c r="D100" s="97">
        <f t="shared" si="20"/>
        <v>80.374999999999986</v>
      </c>
      <c r="E100" s="97"/>
      <c r="F100" s="92">
        <f t="shared" si="21"/>
        <v>118.2375</v>
      </c>
      <c r="G100" s="92">
        <f t="shared" si="21"/>
        <v>139.48749999999998</v>
      </c>
      <c r="H100" s="92">
        <f t="shared" si="21"/>
        <v>68</v>
      </c>
      <c r="I100" s="92">
        <f t="shared" si="21"/>
        <v>89.25</v>
      </c>
    </row>
    <row r="101" spans="2:9" x14ac:dyDescent="0.25">
      <c r="B101" s="77" t="s">
        <v>104</v>
      </c>
      <c r="C101" s="92">
        <f t="shared" si="20"/>
        <v>49.0625</v>
      </c>
      <c r="D101" s="97">
        <f t="shared" si="20"/>
        <v>70.3125</v>
      </c>
      <c r="E101" s="97"/>
      <c r="F101" s="92">
        <f t="shared" si="21"/>
        <v>98.112499999999983</v>
      </c>
      <c r="G101" s="92">
        <f t="shared" si="21"/>
        <v>119.36249999999998</v>
      </c>
      <c r="H101" s="92">
        <f t="shared" si="21"/>
        <v>56.424999999999997</v>
      </c>
      <c r="I101" s="92">
        <f t="shared" si="21"/>
        <v>77.674999999999997</v>
      </c>
    </row>
    <row r="102" spans="2:9" x14ac:dyDescent="0.25">
      <c r="D102" s="96"/>
      <c r="E102" s="96"/>
    </row>
    <row r="103" spans="2:9" x14ac:dyDescent="0.25">
      <c r="D103" s="96"/>
      <c r="E103" s="96"/>
    </row>
    <row r="104" spans="2:9" x14ac:dyDescent="0.25">
      <c r="B104" s="27" t="s">
        <v>106</v>
      </c>
      <c r="C104" s="27" t="s">
        <v>107</v>
      </c>
    </row>
    <row r="105" spans="2:9" x14ac:dyDescent="0.25">
      <c r="B105" s="27" t="s">
        <v>108</v>
      </c>
      <c r="C105" s="27">
        <v>8.6999999999999993</v>
      </c>
      <c r="G105" s="96">
        <v>2500000</v>
      </c>
      <c r="H105" s="96"/>
      <c r="I105" s="63">
        <f>G105/1000*C105</f>
        <v>21750</v>
      </c>
    </row>
    <row r="106" spans="2:9" x14ac:dyDescent="0.25">
      <c r="B106" s="27" t="s">
        <v>109</v>
      </c>
      <c r="C106" s="27">
        <v>7.9</v>
      </c>
      <c r="G106" s="96">
        <v>2500000</v>
      </c>
      <c r="H106" s="96"/>
      <c r="I106" s="63">
        <f>G106/1000*C106</f>
        <v>19750</v>
      </c>
    </row>
    <row r="107" spans="2:9" x14ac:dyDescent="0.25">
      <c r="B107" s="27" t="s">
        <v>110</v>
      </c>
      <c r="C107" s="27">
        <v>6.95</v>
      </c>
      <c r="G107" s="96">
        <v>2500000</v>
      </c>
      <c r="H107" s="96"/>
      <c r="I107" s="63">
        <f>G107/1000*C107</f>
        <v>17375</v>
      </c>
    </row>
    <row r="108" spans="2:9" x14ac:dyDescent="0.25">
      <c r="B108" s="27" t="s">
        <v>111</v>
      </c>
      <c r="I108" s="63">
        <f>I105+I106+I107</f>
        <v>58875</v>
      </c>
    </row>
    <row r="109" spans="2:9" x14ac:dyDescent="0.25">
      <c r="B109" s="27" t="s">
        <v>112</v>
      </c>
      <c r="C109" s="27">
        <v>12</v>
      </c>
      <c r="I109" s="63">
        <f>I108*C109*0.01</f>
        <v>7065</v>
      </c>
    </row>
    <row r="110" spans="2:9" x14ac:dyDescent="0.25">
      <c r="B110" s="27" t="s">
        <v>113</v>
      </c>
      <c r="I110" s="63">
        <f>I108+I109</f>
        <v>65940</v>
      </c>
    </row>
    <row r="111" spans="2:9" x14ac:dyDescent="0.25">
      <c r="B111" s="27" t="s">
        <v>114</v>
      </c>
      <c r="I111" s="63">
        <f>I110/0.9</f>
        <v>73266.666666666672</v>
      </c>
    </row>
    <row r="114" spans="6:7" x14ac:dyDescent="0.25">
      <c r="F114" s="21"/>
      <c r="G114" s="21"/>
    </row>
    <row r="115" spans="6:7" x14ac:dyDescent="0.25">
      <c r="F115" s="21"/>
      <c r="G115" s="77"/>
    </row>
    <row r="116" spans="6:7" x14ac:dyDescent="0.25">
      <c r="F116" s="21"/>
      <c r="G116" s="77"/>
    </row>
    <row r="117" spans="6:7" x14ac:dyDescent="0.25">
      <c r="F117" s="21"/>
      <c r="G117" s="77"/>
    </row>
    <row r="118" spans="6:7" x14ac:dyDescent="0.25">
      <c r="F118" s="21"/>
      <c r="G118" s="77"/>
    </row>
    <row r="119" spans="6:7" x14ac:dyDescent="0.25">
      <c r="F119" s="21"/>
      <c r="G119" s="77"/>
    </row>
  </sheetData>
  <mergeCells count="249">
    <mergeCell ref="G105:H105"/>
    <mergeCell ref="G106:H106"/>
    <mergeCell ref="G107:H107"/>
    <mergeCell ref="D100:E100"/>
    <mergeCell ref="D101:E101"/>
    <mergeCell ref="D102:E102"/>
    <mergeCell ref="D103:E103"/>
    <mergeCell ref="D90:E90"/>
    <mergeCell ref="D91:E91"/>
    <mergeCell ref="D98:E98"/>
    <mergeCell ref="D99:E99"/>
    <mergeCell ref="D92:E92"/>
    <mergeCell ref="D93:E93"/>
    <mergeCell ref="D94:E94"/>
    <mergeCell ref="D95:E95"/>
    <mergeCell ref="D96:E96"/>
    <mergeCell ref="D97:E97"/>
    <mergeCell ref="A75:O75"/>
    <mergeCell ref="D87:E87"/>
    <mergeCell ref="D88:E88"/>
    <mergeCell ref="D89:E89"/>
    <mergeCell ref="A69:O69"/>
    <mergeCell ref="A70:P70"/>
    <mergeCell ref="A71:O71"/>
    <mergeCell ref="A72:P72"/>
    <mergeCell ref="A73:O73"/>
    <mergeCell ref="A74:O74"/>
    <mergeCell ref="D85:E85"/>
    <mergeCell ref="D86:E86"/>
    <mergeCell ref="A62:O62"/>
    <mergeCell ref="A63:P64"/>
    <mergeCell ref="A65:O65"/>
    <mergeCell ref="A66:P66"/>
    <mergeCell ref="A67:O67"/>
    <mergeCell ref="A68:P68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M59:N59"/>
    <mergeCell ref="C58:D58"/>
    <mergeCell ref="E58:F58"/>
    <mergeCell ref="G58:H58"/>
    <mergeCell ref="I58:J58"/>
    <mergeCell ref="K58:L58"/>
    <mergeCell ref="M58:N58"/>
    <mergeCell ref="C57:D57"/>
    <mergeCell ref="E57:F57"/>
    <mergeCell ref="G57:H57"/>
    <mergeCell ref="I57:J57"/>
    <mergeCell ref="K57:L57"/>
    <mergeCell ref="M57:N57"/>
    <mergeCell ref="C56:D56"/>
    <mergeCell ref="E56:F56"/>
    <mergeCell ref="G56:H56"/>
    <mergeCell ref="I56:J56"/>
    <mergeCell ref="K56:L56"/>
    <mergeCell ref="M56:N56"/>
    <mergeCell ref="C55:D55"/>
    <mergeCell ref="E55:F55"/>
    <mergeCell ref="G55:H55"/>
    <mergeCell ref="I55:J55"/>
    <mergeCell ref="K55:L55"/>
    <mergeCell ref="M55:N55"/>
    <mergeCell ref="C54:D54"/>
    <mergeCell ref="E54:F54"/>
    <mergeCell ref="G54:H54"/>
    <mergeCell ref="I54:J54"/>
    <mergeCell ref="K54:L54"/>
    <mergeCell ref="M54:N54"/>
    <mergeCell ref="C53:D53"/>
    <mergeCell ref="E53:F53"/>
    <mergeCell ref="G53:H53"/>
    <mergeCell ref="I53:J53"/>
    <mergeCell ref="K53:L53"/>
    <mergeCell ref="M53:N53"/>
    <mergeCell ref="C52:D52"/>
    <mergeCell ref="E52:F52"/>
    <mergeCell ref="G52:H52"/>
    <mergeCell ref="I52:J52"/>
    <mergeCell ref="K52:L52"/>
    <mergeCell ref="M52:N52"/>
    <mergeCell ref="C51:D51"/>
    <mergeCell ref="E51:F51"/>
    <mergeCell ref="G51:H51"/>
    <mergeCell ref="I51:J51"/>
    <mergeCell ref="K51:L51"/>
    <mergeCell ref="M51:N51"/>
    <mergeCell ref="C50:D50"/>
    <mergeCell ref="E50:F50"/>
    <mergeCell ref="G50:H50"/>
    <mergeCell ref="I50:J50"/>
    <mergeCell ref="K50:L50"/>
    <mergeCell ref="M50:N50"/>
    <mergeCell ref="C49:D49"/>
    <mergeCell ref="E49:F49"/>
    <mergeCell ref="G49:H49"/>
    <mergeCell ref="I49:J49"/>
    <mergeCell ref="K49:L49"/>
    <mergeCell ref="M49:N49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M46:N46"/>
    <mergeCell ref="C45:D45"/>
    <mergeCell ref="E45:F45"/>
    <mergeCell ref="G45:H45"/>
    <mergeCell ref="I45:J45"/>
    <mergeCell ref="K45:L45"/>
    <mergeCell ref="M45:N45"/>
    <mergeCell ref="C44:D44"/>
    <mergeCell ref="E44:F44"/>
    <mergeCell ref="G44:H44"/>
    <mergeCell ref="I44:J44"/>
    <mergeCell ref="K44:L44"/>
    <mergeCell ref="M44:N44"/>
    <mergeCell ref="C43:D43"/>
    <mergeCell ref="E43:F43"/>
    <mergeCell ref="G43:H43"/>
    <mergeCell ref="I43:J43"/>
    <mergeCell ref="K43:L43"/>
    <mergeCell ref="M43:N43"/>
    <mergeCell ref="C42:D42"/>
    <mergeCell ref="E42:F42"/>
    <mergeCell ref="G42:H42"/>
    <mergeCell ref="I42:J42"/>
    <mergeCell ref="K42:L42"/>
    <mergeCell ref="M42:N42"/>
    <mergeCell ref="C41:D41"/>
    <mergeCell ref="E41:F41"/>
    <mergeCell ref="G41:H41"/>
    <mergeCell ref="I41:J41"/>
    <mergeCell ref="K41:L41"/>
    <mergeCell ref="M41:N41"/>
    <mergeCell ref="C40:D40"/>
    <mergeCell ref="E40:F40"/>
    <mergeCell ref="G40:H40"/>
    <mergeCell ref="I40:J40"/>
    <mergeCell ref="K40:L40"/>
    <mergeCell ref="M40:N40"/>
    <mergeCell ref="C39:D39"/>
    <mergeCell ref="E39:F39"/>
    <mergeCell ref="G39:H39"/>
    <mergeCell ref="I39:J39"/>
    <mergeCell ref="K39:L39"/>
    <mergeCell ref="M39:N39"/>
    <mergeCell ref="A36:O36"/>
    <mergeCell ref="A37:P37"/>
    <mergeCell ref="C38:D38"/>
    <mergeCell ref="E38:F38"/>
    <mergeCell ref="G38:H38"/>
    <mergeCell ref="I38:J38"/>
    <mergeCell ref="K38:L38"/>
    <mergeCell ref="M38:N38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M34:N34"/>
    <mergeCell ref="C33:D33"/>
    <mergeCell ref="E33:F33"/>
    <mergeCell ref="G33:H33"/>
    <mergeCell ref="I33:J33"/>
    <mergeCell ref="K33:L33"/>
    <mergeCell ref="M33:N33"/>
    <mergeCell ref="C32:D32"/>
    <mergeCell ref="E32:F32"/>
    <mergeCell ref="G32:H32"/>
    <mergeCell ref="I32:J32"/>
    <mergeCell ref="K32:L32"/>
    <mergeCell ref="M32:N32"/>
    <mergeCell ref="C31:D31"/>
    <mergeCell ref="E31:F31"/>
    <mergeCell ref="G31:H31"/>
    <mergeCell ref="I31:J31"/>
    <mergeCell ref="K31:L31"/>
    <mergeCell ref="M31:N31"/>
    <mergeCell ref="C30:D30"/>
    <mergeCell ref="E30:F30"/>
    <mergeCell ref="G30:H30"/>
    <mergeCell ref="I30:J30"/>
    <mergeCell ref="K30:L30"/>
    <mergeCell ref="M30:N30"/>
    <mergeCell ref="C29:D29"/>
    <mergeCell ref="E29:F29"/>
    <mergeCell ref="G29:H29"/>
    <mergeCell ref="I29:J29"/>
    <mergeCell ref="K29:L29"/>
    <mergeCell ref="M29:N29"/>
    <mergeCell ref="A27:P27"/>
    <mergeCell ref="C28:D28"/>
    <mergeCell ref="E28:F28"/>
    <mergeCell ref="G28:H28"/>
    <mergeCell ref="I28:J28"/>
    <mergeCell ref="K28:L28"/>
    <mergeCell ref="M28:N28"/>
    <mergeCell ref="A6:P6"/>
    <mergeCell ref="A14:E14"/>
    <mergeCell ref="I14:K14"/>
    <mergeCell ref="A15:P15"/>
    <mergeCell ref="A16:P16"/>
    <mergeCell ref="A25:E25"/>
    <mergeCell ref="G25:G26"/>
    <mergeCell ref="I25:K26"/>
    <mergeCell ref="M25:M26"/>
    <mergeCell ref="O25:O26"/>
    <mergeCell ref="A1:P2"/>
    <mergeCell ref="A3:P3"/>
    <mergeCell ref="A4:A5"/>
    <mergeCell ref="B4:B5"/>
    <mergeCell ref="C4:H4"/>
    <mergeCell ref="I4:N4"/>
    <mergeCell ref="O4:O5"/>
    <mergeCell ref="P4:P5"/>
    <mergeCell ref="A26:E26"/>
  </mergeCells>
  <dataValidations count="1">
    <dataValidation type="list" allowBlank="1" showInputMessage="1" showErrorMessage="1" sqref="O7:O13 O17:O24 O29:O35 O39:O61 K95" xr:uid="{44C64537-61AA-4891-B4A5-3EB9F34FC171}">
      <formula1>"1,.95,.94,.93,.92,.91,.9,.89,.88,.87,.86,.85,.84,.83,.82,.81,.8,.79,.78,.77,.76,.75,.74,.73,.72,.71,.7,.66"</formula1>
    </dataValidation>
  </dataValidations>
  <printOptions horizontalCentered="1" verticalCentered="1"/>
  <pageMargins left="0.45" right="0.45" top="0.75" bottom="0.75" header="0.3" footer="0.3"/>
  <pageSetup paperSize="17" scale="72" fitToHeight="0" orientation="portrait" horizontalDpi="300" verticalDpi="300" r:id="rId1"/>
  <colBreaks count="1" manualBreakCount="1">
    <brk id="16" max="83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177D3-2C31-40E4-857D-C9034CA68C24}">
  <dimension ref="A1:W119"/>
  <sheetViews>
    <sheetView zoomScale="80" zoomScaleNormal="80" workbookViewId="0">
      <selection activeCell="A37" sqref="A37:P37"/>
    </sheetView>
  </sheetViews>
  <sheetFormatPr defaultColWidth="9.140625" defaultRowHeight="15.75" x14ac:dyDescent="0.25"/>
  <cols>
    <col min="1" max="1" width="9.140625" style="27"/>
    <col min="2" max="2" width="44.85546875" style="27" customWidth="1"/>
    <col min="3" max="3" width="14.140625" style="27" customWidth="1"/>
    <col min="4" max="4" width="7.28515625" style="27" customWidth="1"/>
    <col min="5" max="5" width="9.42578125" style="27" customWidth="1"/>
    <col min="6" max="6" width="15.7109375" style="27" customWidth="1"/>
    <col min="7" max="7" width="19.140625" style="27" customWidth="1"/>
    <col min="8" max="14" width="15.28515625" style="27" customWidth="1"/>
    <col min="15" max="15" width="14.85546875" style="27" customWidth="1"/>
    <col min="16" max="16" width="22" style="27" customWidth="1"/>
    <col min="17" max="17" width="9.140625" style="27"/>
    <col min="18" max="18" width="12.42578125" style="27" bestFit="1" customWidth="1"/>
    <col min="19" max="19" width="11.42578125" style="27" customWidth="1"/>
    <col min="20" max="20" width="15.5703125" style="27" bestFit="1" customWidth="1"/>
    <col min="21" max="21" width="12.85546875" style="27" customWidth="1"/>
    <col min="22" max="22" width="13.85546875" style="27" customWidth="1"/>
    <col min="23" max="23" width="11.85546875" style="27" customWidth="1"/>
    <col min="24" max="16384" width="9.140625" style="27"/>
  </cols>
  <sheetData>
    <row r="1" spans="1:20" ht="23.25" customHeight="1" x14ac:dyDescent="0.25">
      <c r="A1" s="174" t="str" cm="1">
        <f t="array" aca="1" ref="A1" ca="1">MID(CELL("filename",C1),FIND("]",CELL("filename",C1))+1,255)</f>
        <v>Location 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6"/>
      <c r="R1" s="27" t="str" cm="1">
        <f t="array" aca="1" ref="R1" ca="1">MID(CELL("filename",C1),FIND("]",CELL("filename",C1))+1,255)</f>
        <v>Location 5</v>
      </c>
    </row>
    <row r="2" spans="1:20" ht="19.5" customHeight="1" thickBot="1" x14ac:dyDescent="0.3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9"/>
    </row>
    <row r="3" spans="1:20" ht="19.5" thickBot="1" x14ac:dyDescent="0.3">
      <c r="A3" s="150" t="s">
        <v>53</v>
      </c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</row>
    <row r="4" spans="1:20" ht="19.5" thickBot="1" x14ac:dyDescent="0.3">
      <c r="A4" s="180" t="s">
        <v>9</v>
      </c>
      <c r="B4" s="180" t="s">
        <v>0</v>
      </c>
      <c r="C4" s="133" t="s">
        <v>54</v>
      </c>
      <c r="D4" s="182"/>
      <c r="E4" s="182"/>
      <c r="F4" s="182"/>
      <c r="G4" s="182"/>
      <c r="H4" s="134"/>
      <c r="I4" s="183" t="s">
        <v>55</v>
      </c>
      <c r="J4" s="184"/>
      <c r="K4" s="184"/>
      <c r="L4" s="184"/>
      <c r="M4" s="184"/>
      <c r="N4" s="185"/>
      <c r="O4" s="180" t="s">
        <v>19</v>
      </c>
      <c r="P4" s="186" t="s">
        <v>56</v>
      </c>
    </row>
    <row r="5" spans="1:20" ht="57" thickBot="1" x14ac:dyDescent="0.3">
      <c r="A5" s="181"/>
      <c r="B5" s="181"/>
      <c r="C5" s="35" t="s">
        <v>1</v>
      </c>
      <c r="D5" s="35" t="s">
        <v>34</v>
      </c>
      <c r="E5" s="35" t="s">
        <v>57</v>
      </c>
      <c r="F5" s="35" t="s">
        <v>58</v>
      </c>
      <c r="G5" s="36" t="s">
        <v>59</v>
      </c>
      <c r="H5" s="36" t="s">
        <v>3</v>
      </c>
      <c r="I5" s="37" t="s">
        <v>1</v>
      </c>
      <c r="J5" s="37" t="s">
        <v>34</v>
      </c>
      <c r="K5" s="37" t="s">
        <v>60</v>
      </c>
      <c r="L5" s="37" t="s">
        <v>61</v>
      </c>
      <c r="M5" s="38" t="s">
        <v>62</v>
      </c>
      <c r="N5" s="37" t="s">
        <v>4</v>
      </c>
      <c r="O5" s="181"/>
      <c r="P5" s="187"/>
    </row>
    <row r="6" spans="1:20" ht="34.5" customHeight="1" thickBot="1" x14ac:dyDescent="0.3">
      <c r="A6" s="150" t="s">
        <v>7</v>
      </c>
      <c r="B6" s="150"/>
      <c r="C6" s="150"/>
      <c r="D6" s="150"/>
      <c r="E6" s="150"/>
      <c r="F6" s="150"/>
      <c r="G6" s="150"/>
      <c r="H6" s="150"/>
      <c r="I6" s="149"/>
      <c r="J6" s="149"/>
      <c r="K6" s="149"/>
      <c r="L6" s="149"/>
      <c r="M6" s="149"/>
      <c r="N6" s="149"/>
      <c r="O6" s="150"/>
      <c r="P6" s="149"/>
      <c r="T6" s="63">
        <f>(P25+P36+P62)*0.05</f>
        <v>0</v>
      </c>
    </row>
    <row r="7" spans="1:20" ht="16.5" thickTop="1" x14ac:dyDescent="0.25">
      <c r="A7" s="23">
        <v>1</v>
      </c>
      <c r="B7" s="24" t="s">
        <v>8</v>
      </c>
      <c r="C7" s="13">
        <v>0</v>
      </c>
      <c r="D7" s="13">
        <v>0</v>
      </c>
      <c r="E7" s="13"/>
      <c r="F7" s="13">
        <f>C7*D7*E7</f>
        <v>0</v>
      </c>
      <c r="G7" s="39">
        <v>90</v>
      </c>
      <c r="H7" s="40">
        <f t="shared" ref="H7:H13" si="0">F7*G7</f>
        <v>0</v>
      </c>
      <c r="I7" s="41"/>
      <c r="J7" s="42"/>
      <c r="K7" s="42"/>
      <c r="L7" s="42">
        <f>I7*J7*K7</f>
        <v>0</v>
      </c>
      <c r="M7" s="43">
        <v>150</v>
      </c>
      <c r="N7" s="44">
        <f>L7*M7</f>
        <v>0</v>
      </c>
      <c r="O7" s="5">
        <v>0.85</v>
      </c>
      <c r="P7" s="45">
        <f>H7/O7+N7/O7</f>
        <v>0</v>
      </c>
      <c r="R7" s="29"/>
    </row>
    <row r="8" spans="1:20" x14ac:dyDescent="0.25">
      <c r="A8" s="23">
        <v>2</v>
      </c>
      <c r="B8" s="4" t="s">
        <v>7</v>
      </c>
      <c r="C8" s="13">
        <v>0.05</v>
      </c>
      <c r="D8" s="13">
        <v>1</v>
      </c>
      <c r="E8" s="13">
        <v>1</v>
      </c>
      <c r="F8" s="13">
        <f>C8*D8*E8</f>
        <v>0.05</v>
      </c>
      <c r="G8" s="39">
        <f>(P25+P36+P62)</f>
        <v>0</v>
      </c>
      <c r="H8" s="46">
        <f t="shared" si="0"/>
        <v>0</v>
      </c>
      <c r="I8" s="47"/>
      <c r="J8" s="48"/>
      <c r="K8" s="48"/>
      <c r="L8" s="48">
        <f>I8*J8*K8</f>
        <v>0</v>
      </c>
      <c r="M8" s="39">
        <v>150</v>
      </c>
      <c r="N8" s="46">
        <f>L8*M8</f>
        <v>0</v>
      </c>
      <c r="O8" s="5">
        <v>0.85</v>
      </c>
      <c r="P8" s="49">
        <f t="shared" ref="P8:P13" si="1">H8/O8+N8/O8</f>
        <v>0</v>
      </c>
    </row>
    <row r="9" spans="1:20" x14ac:dyDescent="0.25">
      <c r="A9" s="23">
        <v>3</v>
      </c>
      <c r="B9" s="4" t="s">
        <v>26</v>
      </c>
      <c r="C9" s="13"/>
      <c r="D9" s="13"/>
      <c r="E9" s="13"/>
      <c r="F9" s="13">
        <f>C9*D9*E9</f>
        <v>0</v>
      </c>
      <c r="G9" s="39">
        <v>2000</v>
      </c>
      <c r="H9" s="46">
        <f t="shared" si="0"/>
        <v>0</v>
      </c>
      <c r="I9" s="47"/>
      <c r="J9" s="48"/>
      <c r="K9" s="48"/>
      <c r="L9" s="48">
        <f>I9*J9*K9</f>
        <v>0</v>
      </c>
      <c r="M9" s="39">
        <v>0</v>
      </c>
      <c r="N9" s="46">
        <f t="shared" ref="N9:N13" si="2">L9*M9</f>
        <v>0</v>
      </c>
      <c r="O9" s="5">
        <v>0.85</v>
      </c>
      <c r="P9" s="50">
        <f t="shared" si="1"/>
        <v>0</v>
      </c>
    </row>
    <row r="10" spans="1:20" x14ac:dyDescent="0.25">
      <c r="A10" s="23">
        <v>4</v>
      </c>
      <c r="B10" s="4" t="s">
        <v>38</v>
      </c>
      <c r="C10" s="13">
        <v>0.05</v>
      </c>
      <c r="D10" s="13">
        <v>1</v>
      </c>
      <c r="E10" s="13">
        <v>1</v>
      </c>
      <c r="F10" s="13">
        <f t="shared" ref="F10:F11" si="3">C10*D10*E10</f>
        <v>0.05</v>
      </c>
      <c r="G10" s="39">
        <f>P36</f>
        <v>0</v>
      </c>
      <c r="H10" s="46">
        <f t="shared" si="0"/>
        <v>0</v>
      </c>
      <c r="I10" s="47"/>
      <c r="J10" s="48"/>
      <c r="K10" s="48"/>
      <c r="L10" s="48">
        <f t="shared" ref="L10:L13" si="4">I10*J10*K10</f>
        <v>0</v>
      </c>
      <c r="M10" s="39">
        <v>150</v>
      </c>
      <c r="N10" s="46">
        <f t="shared" si="2"/>
        <v>0</v>
      </c>
      <c r="O10" s="5">
        <v>0.85</v>
      </c>
      <c r="P10" s="50">
        <f t="shared" si="1"/>
        <v>0</v>
      </c>
    </row>
    <row r="11" spans="1:20" x14ac:dyDescent="0.25">
      <c r="A11" s="23">
        <v>5</v>
      </c>
      <c r="B11" s="4" t="s">
        <v>39</v>
      </c>
      <c r="C11" s="13">
        <v>0.05</v>
      </c>
      <c r="D11" s="13">
        <v>1</v>
      </c>
      <c r="E11" s="13">
        <v>1</v>
      </c>
      <c r="F11" s="13">
        <f t="shared" si="3"/>
        <v>0.05</v>
      </c>
      <c r="G11" s="39">
        <f>P62</f>
        <v>0</v>
      </c>
      <c r="H11" s="46">
        <f t="shared" si="0"/>
        <v>0</v>
      </c>
      <c r="I11" s="47"/>
      <c r="J11" s="48"/>
      <c r="K11" s="48"/>
      <c r="L11" s="48">
        <f t="shared" si="4"/>
        <v>0</v>
      </c>
      <c r="M11" s="39">
        <v>150</v>
      </c>
      <c r="N11" s="46">
        <f t="shared" si="2"/>
        <v>0</v>
      </c>
      <c r="O11" s="5">
        <v>0.85</v>
      </c>
      <c r="P11" s="50">
        <f t="shared" si="1"/>
        <v>0</v>
      </c>
    </row>
    <row r="12" spans="1:20" x14ac:dyDescent="0.25">
      <c r="A12" s="23">
        <v>6</v>
      </c>
      <c r="B12" s="4" t="s">
        <v>36</v>
      </c>
      <c r="C12" s="13"/>
      <c r="D12" s="13"/>
      <c r="E12" s="13"/>
      <c r="F12" s="13">
        <f>C12*D12*E12</f>
        <v>0</v>
      </c>
      <c r="G12" s="39">
        <v>92</v>
      </c>
      <c r="H12" s="46">
        <f t="shared" si="0"/>
        <v>0</v>
      </c>
      <c r="I12" s="47"/>
      <c r="J12" s="48"/>
      <c r="K12" s="48"/>
      <c r="L12" s="48">
        <f t="shared" si="4"/>
        <v>0</v>
      </c>
      <c r="M12" s="39">
        <v>150</v>
      </c>
      <c r="N12" s="46">
        <f t="shared" si="2"/>
        <v>0</v>
      </c>
      <c r="O12" s="5">
        <v>0.85</v>
      </c>
      <c r="P12" s="50">
        <f t="shared" si="1"/>
        <v>0</v>
      </c>
    </row>
    <row r="13" spans="1:20" x14ac:dyDescent="0.25">
      <c r="A13" s="23">
        <v>7</v>
      </c>
      <c r="B13" s="4" t="s">
        <v>50</v>
      </c>
      <c r="C13" s="13">
        <v>1</v>
      </c>
      <c r="D13" s="13">
        <v>1</v>
      </c>
      <c r="E13" s="13">
        <v>1</v>
      </c>
      <c r="F13" s="13">
        <f>C13*D13*E13</f>
        <v>1</v>
      </c>
      <c r="G13" s="39">
        <v>0</v>
      </c>
      <c r="H13" s="46">
        <f t="shared" si="0"/>
        <v>0</v>
      </c>
      <c r="I13" s="47"/>
      <c r="J13" s="48"/>
      <c r="K13" s="48"/>
      <c r="L13" s="48">
        <f t="shared" si="4"/>
        <v>0</v>
      </c>
      <c r="M13" s="39">
        <v>175</v>
      </c>
      <c r="N13" s="46">
        <f t="shared" si="2"/>
        <v>0</v>
      </c>
      <c r="O13" s="5">
        <v>0.85</v>
      </c>
      <c r="P13" s="50">
        <f t="shared" si="1"/>
        <v>0</v>
      </c>
    </row>
    <row r="14" spans="1:20" s="21" customFormat="1" ht="15.75" customHeight="1" thickBot="1" x14ac:dyDescent="0.3">
      <c r="A14" s="157" t="s">
        <v>11</v>
      </c>
      <c r="B14" s="158"/>
      <c r="C14" s="158"/>
      <c r="D14" s="158"/>
      <c r="E14" s="161"/>
      <c r="F14" s="8">
        <f>SUM(F7:F13)</f>
        <v>1.1499999999999999</v>
      </c>
      <c r="G14" s="8"/>
      <c r="H14" s="51">
        <f>SUM(H7:H13)</f>
        <v>0</v>
      </c>
      <c r="I14" s="152"/>
      <c r="J14" s="153"/>
      <c r="K14" s="154"/>
      <c r="L14" s="52">
        <f>SUM(L7:L13)</f>
        <v>0</v>
      </c>
      <c r="M14" s="53"/>
      <c r="N14" s="54">
        <f>SUM(N7:N13)</f>
        <v>0</v>
      </c>
      <c r="O14" s="55"/>
      <c r="P14" s="56">
        <f>SUM(P7:P13)</f>
        <v>0</v>
      </c>
    </row>
    <row r="15" spans="1:20" ht="16.5" thickTop="1" x14ac:dyDescent="0.25">
      <c r="A15" s="155"/>
      <c r="B15" s="155"/>
      <c r="C15" s="155"/>
      <c r="D15" s="155"/>
      <c r="E15" s="155"/>
      <c r="F15" s="155"/>
      <c r="G15" s="155"/>
      <c r="H15" s="155"/>
      <c r="I15" s="156"/>
      <c r="J15" s="156"/>
      <c r="K15" s="156"/>
      <c r="L15" s="156"/>
      <c r="M15" s="156"/>
      <c r="N15" s="156"/>
      <c r="O15" s="155"/>
      <c r="P15" s="156"/>
    </row>
    <row r="16" spans="1:20" ht="16.5" thickBot="1" x14ac:dyDescent="0.3">
      <c r="A16" s="157" t="s">
        <v>12</v>
      </c>
      <c r="B16" s="158"/>
      <c r="C16" s="158"/>
      <c r="D16" s="158"/>
      <c r="E16" s="158"/>
      <c r="F16" s="158"/>
      <c r="G16" s="158"/>
      <c r="H16" s="158"/>
      <c r="I16" s="159"/>
      <c r="J16" s="159"/>
      <c r="K16" s="159"/>
      <c r="L16" s="159"/>
      <c r="M16" s="159"/>
      <c r="N16" s="159"/>
      <c r="O16" s="158"/>
      <c r="P16" s="160"/>
    </row>
    <row r="17" spans="1:23" ht="16.5" thickTop="1" x14ac:dyDescent="0.25">
      <c r="A17" s="26">
        <v>1</v>
      </c>
      <c r="B17" s="31" t="s">
        <v>63</v>
      </c>
      <c r="C17" s="5"/>
      <c r="D17" s="5"/>
      <c r="E17" s="5"/>
      <c r="F17" s="5">
        <f t="shared" ref="F17:F24" si="5">C17*D17*E17</f>
        <v>0</v>
      </c>
      <c r="G17" s="57">
        <v>108</v>
      </c>
      <c r="H17" s="58">
        <f t="shared" ref="H17:H24" si="6">F17*G17</f>
        <v>0</v>
      </c>
      <c r="I17" s="41"/>
      <c r="J17" s="42"/>
      <c r="K17" s="42"/>
      <c r="L17" s="42">
        <f>I17*J17*K17</f>
        <v>0</v>
      </c>
      <c r="M17" s="43">
        <v>195</v>
      </c>
      <c r="N17" s="44">
        <f>L17*M17</f>
        <v>0</v>
      </c>
      <c r="O17" s="5">
        <v>0.85</v>
      </c>
      <c r="P17" s="45">
        <f>H17/O17+N17/O17</f>
        <v>0</v>
      </c>
    </row>
    <row r="18" spans="1:23" x14ac:dyDescent="0.25">
      <c r="A18" s="26">
        <v>2</v>
      </c>
      <c r="B18" s="31" t="s">
        <v>64</v>
      </c>
      <c r="C18" s="5"/>
      <c r="D18" s="5"/>
      <c r="E18" s="5"/>
      <c r="F18" s="5">
        <f t="shared" si="5"/>
        <v>0</v>
      </c>
      <c r="G18" s="57">
        <v>108</v>
      </c>
      <c r="H18" s="58">
        <f t="shared" si="6"/>
        <v>0</v>
      </c>
      <c r="I18" s="59"/>
      <c r="J18" s="60"/>
      <c r="K18" s="60"/>
      <c r="L18" s="60">
        <f t="shared" ref="L18:L24" si="7">I18*J18*K18</f>
        <v>0</v>
      </c>
      <c r="M18" s="57">
        <v>195</v>
      </c>
      <c r="N18" s="61">
        <f t="shared" ref="N18:N24" si="8">L18*M18</f>
        <v>0</v>
      </c>
      <c r="O18" s="5">
        <v>0.85</v>
      </c>
      <c r="P18" s="49">
        <f t="shared" ref="P18:P24" si="9">H18/O18+N18/O18</f>
        <v>0</v>
      </c>
      <c r="U18" s="62"/>
    </row>
    <row r="19" spans="1:23" x14ac:dyDescent="0.25">
      <c r="A19" s="26">
        <v>3</v>
      </c>
      <c r="B19" s="18" t="s">
        <v>65</v>
      </c>
      <c r="C19" s="5"/>
      <c r="D19" s="5"/>
      <c r="E19" s="5"/>
      <c r="F19" s="5">
        <f t="shared" si="5"/>
        <v>0</v>
      </c>
      <c r="G19" s="57">
        <v>108</v>
      </c>
      <c r="H19" s="58">
        <f t="shared" si="6"/>
        <v>0</v>
      </c>
      <c r="I19" s="59"/>
      <c r="J19" s="60"/>
      <c r="K19" s="60"/>
      <c r="L19" s="60">
        <f t="shared" si="7"/>
        <v>0</v>
      </c>
      <c r="M19" s="57">
        <v>195</v>
      </c>
      <c r="N19" s="61">
        <f t="shared" si="8"/>
        <v>0</v>
      </c>
      <c r="O19" s="5">
        <v>0.85</v>
      </c>
      <c r="P19" s="49">
        <f t="shared" si="9"/>
        <v>0</v>
      </c>
      <c r="R19" s="63"/>
      <c r="U19" s="62"/>
    </row>
    <row r="20" spans="1:23" x14ac:dyDescent="0.25">
      <c r="A20" s="26">
        <v>4</v>
      </c>
      <c r="B20" s="18"/>
      <c r="C20" s="5"/>
      <c r="D20" s="5"/>
      <c r="E20" s="5"/>
      <c r="F20" s="5">
        <f t="shared" si="5"/>
        <v>0</v>
      </c>
      <c r="G20" s="57">
        <v>108</v>
      </c>
      <c r="H20" s="58">
        <f t="shared" si="6"/>
        <v>0</v>
      </c>
      <c r="I20" s="59"/>
      <c r="J20" s="60"/>
      <c r="K20" s="60"/>
      <c r="L20" s="60">
        <f t="shared" si="7"/>
        <v>0</v>
      </c>
      <c r="M20" s="57">
        <v>195</v>
      </c>
      <c r="N20" s="61">
        <f t="shared" si="8"/>
        <v>0</v>
      </c>
      <c r="O20" s="5">
        <v>0.85</v>
      </c>
      <c r="P20" s="49">
        <f t="shared" si="9"/>
        <v>0</v>
      </c>
      <c r="U20" s="62"/>
    </row>
    <row r="21" spans="1:23" x14ac:dyDescent="0.25">
      <c r="A21" s="26">
        <v>5</v>
      </c>
      <c r="B21" s="18"/>
      <c r="C21" s="5"/>
      <c r="D21" s="5"/>
      <c r="E21" s="5"/>
      <c r="F21" s="5">
        <f t="shared" si="5"/>
        <v>0</v>
      </c>
      <c r="G21" s="57">
        <v>108</v>
      </c>
      <c r="H21" s="58">
        <f t="shared" si="6"/>
        <v>0</v>
      </c>
      <c r="I21" s="59"/>
      <c r="J21" s="60"/>
      <c r="K21" s="60"/>
      <c r="L21" s="60">
        <f t="shared" si="7"/>
        <v>0</v>
      </c>
      <c r="M21" s="57">
        <v>195</v>
      </c>
      <c r="N21" s="61">
        <f t="shared" si="8"/>
        <v>0</v>
      </c>
      <c r="O21" s="5">
        <v>0.85</v>
      </c>
      <c r="P21" s="49">
        <f t="shared" si="9"/>
        <v>0</v>
      </c>
    </row>
    <row r="22" spans="1:23" x14ac:dyDescent="0.25">
      <c r="A22" s="26">
        <v>6</v>
      </c>
      <c r="B22" s="18"/>
      <c r="C22" s="5"/>
      <c r="D22" s="5"/>
      <c r="E22" s="5"/>
      <c r="F22" s="5">
        <f t="shared" si="5"/>
        <v>0</v>
      </c>
      <c r="G22" s="57">
        <v>108</v>
      </c>
      <c r="H22" s="58">
        <f t="shared" si="6"/>
        <v>0</v>
      </c>
      <c r="I22" s="59"/>
      <c r="J22" s="60"/>
      <c r="K22" s="60"/>
      <c r="L22" s="60">
        <f t="shared" si="7"/>
        <v>0</v>
      </c>
      <c r="M22" s="57">
        <v>195</v>
      </c>
      <c r="N22" s="61">
        <f t="shared" si="8"/>
        <v>0</v>
      </c>
      <c r="O22" s="5">
        <v>0.85</v>
      </c>
      <c r="P22" s="49">
        <f t="shared" si="9"/>
        <v>0</v>
      </c>
    </row>
    <row r="23" spans="1:23" x14ac:dyDescent="0.25">
      <c r="A23" s="26">
        <v>7</v>
      </c>
      <c r="B23" s="18"/>
      <c r="C23" s="5"/>
      <c r="D23" s="5"/>
      <c r="E23" s="5"/>
      <c r="F23" s="5">
        <f t="shared" si="5"/>
        <v>0</v>
      </c>
      <c r="G23" s="57">
        <v>108</v>
      </c>
      <c r="H23" s="58">
        <f t="shared" si="6"/>
        <v>0</v>
      </c>
      <c r="I23" s="59"/>
      <c r="J23" s="60"/>
      <c r="K23" s="60"/>
      <c r="L23" s="60">
        <f t="shared" si="7"/>
        <v>0</v>
      </c>
      <c r="M23" s="57">
        <v>195</v>
      </c>
      <c r="N23" s="61">
        <f t="shared" si="8"/>
        <v>0</v>
      </c>
      <c r="O23" s="5">
        <v>0.85</v>
      </c>
      <c r="P23" s="49">
        <f t="shared" si="9"/>
        <v>0</v>
      </c>
    </row>
    <row r="24" spans="1:23" x14ac:dyDescent="0.25">
      <c r="A24" s="26">
        <v>8</v>
      </c>
      <c r="B24" s="18"/>
      <c r="C24" s="5"/>
      <c r="D24" s="5"/>
      <c r="E24" s="5"/>
      <c r="F24" s="5">
        <f t="shared" si="5"/>
        <v>0</v>
      </c>
      <c r="G24" s="57">
        <v>108</v>
      </c>
      <c r="H24" s="58">
        <f t="shared" si="6"/>
        <v>0</v>
      </c>
      <c r="I24" s="59"/>
      <c r="J24" s="60"/>
      <c r="K24" s="60"/>
      <c r="L24" s="60">
        <f t="shared" si="7"/>
        <v>0</v>
      </c>
      <c r="M24" s="57">
        <v>195</v>
      </c>
      <c r="N24" s="61">
        <f t="shared" si="8"/>
        <v>0</v>
      </c>
      <c r="O24" s="5">
        <v>0.85</v>
      </c>
      <c r="P24" s="49">
        <f t="shared" si="9"/>
        <v>0</v>
      </c>
    </row>
    <row r="25" spans="1:23" ht="15.75" customHeight="1" x14ac:dyDescent="0.25">
      <c r="A25" s="157" t="s">
        <v>25</v>
      </c>
      <c r="B25" s="158"/>
      <c r="C25" s="158"/>
      <c r="D25" s="158"/>
      <c r="E25" s="161"/>
      <c r="F25" s="8">
        <f>SUM(F17:F24)</f>
        <v>0</v>
      </c>
      <c r="G25" s="162"/>
      <c r="H25" s="64">
        <f>SUM(H17:H24)</f>
        <v>0</v>
      </c>
      <c r="I25" s="164"/>
      <c r="J25" s="165"/>
      <c r="K25" s="166"/>
      <c r="L25" s="65">
        <f>SUM(L17:L24)</f>
        <v>0</v>
      </c>
      <c r="M25" s="170"/>
      <c r="N25" s="66">
        <f>SUM(N17:N24)</f>
        <v>0</v>
      </c>
      <c r="O25" s="172"/>
      <c r="P25" s="67">
        <f>SUM(P17:P24)</f>
        <v>0</v>
      </c>
      <c r="S25" s="22"/>
      <c r="T25" s="22"/>
    </row>
    <row r="26" spans="1:23" s="21" customFormat="1" ht="15.75" customHeight="1" thickBot="1" x14ac:dyDescent="0.3">
      <c r="A26" s="157" t="s">
        <v>13</v>
      </c>
      <c r="B26" s="158"/>
      <c r="C26" s="158"/>
      <c r="D26" s="158"/>
      <c r="E26" s="161"/>
      <c r="F26" s="8">
        <f>F14+F25</f>
        <v>1.1499999999999999</v>
      </c>
      <c r="G26" s="163"/>
      <c r="H26" s="64">
        <f>H14+H25</f>
        <v>0</v>
      </c>
      <c r="I26" s="167"/>
      <c r="J26" s="168"/>
      <c r="K26" s="169"/>
      <c r="L26" s="52">
        <f>L14+L25</f>
        <v>0</v>
      </c>
      <c r="M26" s="171"/>
      <c r="N26" s="68">
        <f>N14+N25</f>
        <v>0</v>
      </c>
      <c r="O26" s="173"/>
      <c r="P26" s="56">
        <f>P14+P25</f>
        <v>0</v>
      </c>
      <c r="S26" s="22"/>
      <c r="T26" s="22"/>
    </row>
    <row r="27" spans="1:23" s="21" customFormat="1" ht="34.5" customHeight="1" thickTop="1" thickBot="1" x14ac:dyDescent="0.3">
      <c r="A27" s="147" t="s">
        <v>23</v>
      </c>
      <c r="B27" s="147"/>
      <c r="C27" s="147"/>
      <c r="D27" s="147"/>
      <c r="E27" s="147"/>
      <c r="F27" s="147"/>
      <c r="G27" s="147"/>
      <c r="H27" s="147"/>
      <c r="I27" s="148"/>
      <c r="J27" s="148"/>
      <c r="K27" s="148"/>
      <c r="L27" s="148"/>
      <c r="M27" s="148"/>
      <c r="N27" s="148"/>
      <c r="O27" s="147"/>
      <c r="P27" s="148"/>
      <c r="S27" s="22"/>
      <c r="T27" s="22"/>
      <c r="U27" s="22"/>
      <c r="V27" s="22"/>
      <c r="W27" s="22"/>
    </row>
    <row r="28" spans="1:23" s="21" customFormat="1" ht="19.5" thickBot="1" x14ac:dyDescent="0.3">
      <c r="A28" s="69" t="s">
        <v>9</v>
      </c>
      <c r="B28" s="69" t="s">
        <v>0</v>
      </c>
      <c r="C28" s="133" t="s">
        <v>28</v>
      </c>
      <c r="D28" s="134"/>
      <c r="E28" s="133" t="s">
        <v>34</v>
      </c>
      <c r="F28" s="134"/>
      <c r="G28" s="135" t="s">
        <v>33</v>
      </c>
      <c r="H28" s="136"/>
      <c r="I28" s="135" t="s">
        <v>29</v>
      </c>
      <c r="J28" s="136"/>
      <c r="K28" s="135" t="s">
        <v>30</v>
      </c>
      <c r="L28" s="136"/>
      <c r="M28" s="135" t="s">
        <v>3</v>
      </c>
      <c r="N28" s="136"/>
      <c r="O28" s="35" t="s">
        <v>19</v>
      </c>
      <c r="P28" s="34" t="s">
        <v>4</v>
      </c>
      <c r="S28" s="22"/>
      <c r="T28" s="22"/>
      <c r="U28" s="22"/>
      <c r="V28" s="22"/>
      <c r="W28" s="22"/>
    </row>
    <row r="29" spans="1:23" s="21" customFormat="1" ht="16.5" thickTop="1" x14ac:dyDescent="0.25">
      <c r="A29" s="13">
        <v>1</v>
      </c>
      <c r="B29" s="14" t="s">
        <v>66</v>
      </c>
      <c r="C29" s="143"/>
      <c r="D29" s="144"/>
      <c r="E29" s="143"/>
      <c r="F29" s="144"/>
      <c r="G29" s="143"/>
      <c r="H29" s="144"/>
      <c r="I29" s="122">
        <f>C29*E29*G29</f>
        <v>0</v>
      </c>
      <c r="J29" s="123"/>
      <c r="K29" s="145"/>
      <c r="L29" s="146"/>
      <c r="M29" s="126">
        <f>K29*I29</f>
        <v>0</v>
      </c>
      <c r="N29" s="127"/>
      <c r="O29" s="5">
        <v>0.85</v>
      </c>
      <c r="P29" s="45">
        <f>M29/O29</f>
        <v>0</v>
      </c>
      <c r="S29" s="22"/>
      <c r="T29" s="22"/>
      <c r="U29" s="22"/>
      <c r="V29" s="22"/>
      <c r="W29" s="22"/>
    </row>
    <row r="30" spans="1:23" s="21" customFormat="1" x14ac:dyDescent="0.25">
      <c r="A30" s="5">
        <v>2</v>
      </c>
      <c r="B30" s="18" t="s">
        <v>67</v>
      </c>
      <c r="C30" s="117"/>
      <c r="D30" s="118"/>
      <c r="E30" s="117"/>
      <c r="F30" s="118"/>
      <c r="G30" s="117"/>
      <c r="H30" s="118"/>
      <c r="I30" s="117">
        <f t="shared" ref="I30:I35" si="10">C30*E30*G30</f>
        <v>0</v>
      </c>
      <c r="J30" s="118"/>
      <c r="K30" s="119"/>
      <c r="L30" s="120"/>
      <c r="M30" s="141">
        <f>K30*I30</f>
        <v>0</v>
      </c>
      <c r="N30" s="142"/>
      <c r="O30" s="5">
        <v>0.85</v>
      </c>
      <c r="P30" s="50">
        <f t="shared" ref="P30:P35" si="11">M30/O30</f>
        <v>0</v>
      </c>
      <c r="S30" s="22"/>
      <c r="T30" s="22"/>
      <c r="U30" s="22"/>
      <c r="V30" s="22"/>
      <c r="W30" s="22"/>
    </row>
    <row r="31" spans="1:23" s="21" customFormat="1" x14ac:dyDescent="0.25">
      <c r="A31" s="5">
        <v>3</v>
      </c>
      <c r="B31" s="18" t="s">
        <v>68</v>
      </c>
      <c r="C31" s="117"/>
      <c r="D31" s="118"/>
      <c r="E31" s="117"/>
      <c r="F31" s="118"/>
      <c r="G31" s="117"/>
      <c r="H31" s="118"/>
      <c r="I31" s="117">
        <f t="shared" si="10"/>
        <v>0</v>
      </c>
      <c r="J31" s="118"/>
      <c r="K31" s="119"/>
      <c r="L31" s="120"/>
      <c r="M31" s="141">
        <f t="shared" ref="M31:M35" si="12">K31*I31</f>
        <v>0</v>
      </c>
      <c r="N31" s="142"/>
      <c r="O31" s="5">
        <v>0.85</v>
      </c>
      <c r="P31" s="50">
        <f t="shared" si="11"/>
        <v>0</v>
      </c>
      <c r="S31" s="22"/>
      <c r="T31" s="22"/>
      <c r="U31" s="22"/>
      <c r="V31" s="22"/>
      <c r="W31" s="22"/>
    </row>
    <row r="32" spans="1:23" s="21" customFormat="1" x14ac:dyDescent="0.25">
      <c r="A32" s="5">
        <v>4</v>
      </c>
      <c r="B32" s="18" t="s">
        <v>69</v>
      </c>
      <c r="C32" s="117"/>
      <c r="D32" s="118"/>
      <c r="E32" s="117"/>
      <c r="F32" s="118"/>
      <c r="G32" s="117"/>
      <c r="H32" s="118"/>
      <c r="I32" s="117">
        <f t="shared" si="10"/>
        <v>0</v>
      </c>
      <c r="J32" s="118"/>
      <c r="K32" s="119"/>
      <c r="L32" s="120"/>
      <c r="M32" s="141">
        <f t="shared" si="12"/>
        <v>0</v>
      </c>
      <c r="N32" s="142"/>
      <c r="O32" s="5">
        <v>0.85</v>
      </c>
      <c r="P32" s="50">
        <f t="shared" si="11"/>
        <v>0</v>
      </c>
      <c r="S32" s="22"/>
      <c r="T32" s="22"/>
      <c r="U32" s="22"/>
      <c r="V32" s="22"/>
      <c r="W32" s="22"/>
    </row>
    <row r="33" spans="1:23" s="21" customFormat="1" x14ac:dyDescent="0.25">
      <c r="A33" s="5">
        <v>5</v>
      </c>
      <c r="B33" s="18" t="s">
        <v>70</v>
      </c>
      <c r="C33" s="117"/>
      <c r="D33" s="118"/>
      <c r="E33" s="117"/>
      <c r="F33" s="118"/>
      <c r="G33" s="117"/>
      <c r="H33" s="118"/>
      <c r="I33" s="117">
        <f t="shared" si="10"/>
        <v>0</v>
      </c>
      <c r="J33" s="118"/>
      <c r="K33" s="119"/>
      <c r="L33" s="120"/>
      <c r="M33" s="141">
        <f t="shared" si="12"/>
        <v>0</v>
      </c>
      <c r="N33" s="142"/>
      <c r="O33" s="5">
        <v>0.85</v>
      </c>
      <c r="P33" s="50">
        <f t="shared" si="11"/>
        <v>0</v>
      </c>
      <c r="S33" s="22"/>
      <c r="T33" s="22"/>
      <c r="U33" s="22"/>
      <c r="V33" s="22"/>
      <c r="W33" s="22"/>
    </row>
    <row r="34" spans="1:23" s="21" customFormat="1" x14ac:dyDescent="0.25">
      <c r="A34" s="5"/>
      <c r="B34" s="18"/>
      <c r="C34" s="117"/>
      <c r="D34" s="118"/>
      <c r="E34" s="117"/>
      <c r="F34" s="118"/>
      <c r="G34" s="117"/>
      <c r="H34" s="118"/>
      <c r="I34" s="117">
        <f t="shared" si="10"/>
        <v>0</v>
      </c>
      <c r="J34" s="118"/>
      <c r="K34" s="119"/>
      <c r="L34" s="120"/>
      <c r="M34" s="141">
        <f t="shared" si="12"/>
        <v>0</v>
      </c>
      <c r="N34" s="142"/>
      <c r="O34" s="5">
        <v>0.85</v>
      </c>
      <c r="P34" s="50">
        <f t="shared" si="11"/>
        <v>0</v>
      </c>
      <c r="S34" s="22"/>
      <c r="T34" s="22"/>
      <c r="U34" s="22"/>
      <c r="V34" s="22"/>
      <c r="W34" s="22"/>
    </row>
    <row r="35" spans="1:23" s="21" customFormat="1" x14ac:dyDescent="0.25">
      <c r="A35" s="5"/>
      <c r="B35" s="18"/>
      <c r="C35" s="117"/>
      <c r="D35" s="118"/>
      <c r="E35" s="117"/>
      <c r="F35" s="118"/>
      <c r="G35" s="117"/>
      <c r="H35" s="118"/>
      <c r="I35" s="137">
        <f t="shared" si="10"/>
        <v>0</v>
      </c>
      <c r="J35" s="138"/>
      <c r="K35" s="119"/>
      <c r="L35" s="120"/>
      <c r="M35" s="139">
        <f t="shared" si="12"/>
        <v>0</v>
      </c>
      <c r="N35" s="140"/>
      <c r="O35" s="5">
        <v>0.85</v>
      </c>
      <c r="P35" s="50">
        <f t="shared" si="11"/>
        <v>0</v>
      </c>
      <c r="S35" s="22"/>
      <c r="T35" s="22"/>
      <c r="U35" s="22"/>
      <c r="V35" s="22"/>
      <c r="W35" s="22"/>
    </row>
    <row r="36" spans="1:23" s="21" customFormat="1" ht="15.75" customHeight="1" thickBot="1" x14ac:dyDescent="0.3">
      <c r="A36" s="128" t="s">
        <v>24</v>
      </c>
      <c r="B36" s="129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56">
        <f>SUM(P29:P35)</f>
        <v>0</v>
      </c>
      <c r="S36" s="22"/>
      <c r="T36" s="22"/>
      <c r="U36" s="22"/>
      <c r="V36" s="22"/>
      <c r="W36" s="22"/>
    </row>
    <row r="37" spans="1:23" ht="34.5" customHeight="1" thickBot="1" x14ac:dyDescent="0.3">
      <c r="A37" s="130" t="s">
        <v>17</v>
      </c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2"/>
      <c r="S37" s="22"/>
      <c r="T37" s="22"/>
      <c r="U37" s="22"/>
      <c r="V37" s="22"/>
      <c r="W37" s="22"/>
    </row>
    <row r="38" spans="1:23" ht="19.5" thickBot="1" x14ac:dyDescent="0.3">
      <c r="A38" s="69" t="s">
        <v>9</v>
      </c>
      <c r="B38" s="69" t="s">
        <v>31</v>
      </c>
      <c r="C38" s="133" t="s">
        <v>28</v>
      </c>
      <c r="D38" s="134"/>
      <c r="E38" s="133" t="s">
        <v>71</v>
      </c>
      <c r="F38" s="134"/>
      <c r="G38" s="135" t="s">
        <v>33</v>
      </c>
      <c r="H38" s="136"/>
      <c r="I38" s="135" t="s">
        <v>29</v>
      </c>
      <c r="J38" s="136"/>
      <c r="K38" s="135" t="s">
        <v>30</v>
      </c>
      <c r="L38" s="136"/>
      <c r="M38" s="135" t="s">
        <v>3</v>
      </c>
      <c r="N38" s="136"/>
      <c r="O38" s="35" t="s">
        <v>19</v>
      </c>
      <c r="P38" s="34" t="s">
        <v>4</v>
      </c>
      <c r="S38" s="22"/>
      <c r="T38" s="22"/>
      <c r="U38" s="22"/>
      <c r="V38" s="22"/>
      <c r="W38" s="22"/>
    </row>
    <row r="39" spans="1:23" ht="16.5" thickTop="1" x14ac:dyDescent="0.25">
      <c r="A39" s="13">
        <v>1</v>
      </c>
      <c r="B39" s="14" t="s">
        <v>72</v>
      </c>
      <c r="C39" s="122"/>
      <c r="D39" s="123"/>
      <c r="E39" s="122"/>
      <c r="F39" s="123"/>
      <c r="G39" s="122"/>
      <c r="H39" s="123"/>
      <c r="I39" s="122">
        <f>G39*E39*C39</f>
        <v>0</v>
      </c>
      <c r="J39" s="123"/>
      <c r="K39" s="124"/>
      <c r="L39" s="125"/>
      <c r="M39" s="126">
        <f>K39*I39</f>
        <v>0</v>
      </c>
      <c r="N39" s="127"/>
      <c r="O39" s="5">
        <v>0.85</v>
      </c>
      <c r="P39" s="70">
        <f>M39/O39</f>
        <v>0</v>
      </c>
      <c r="S39" s="22"/>
      <c r="T39" s="22"/>
      <c r="U39" s="22"/>
      <c r="V39" s="22"/>
      <c r="W39" s="22"/>
    </row>
    <row r="40" spans="1:23" s="22" customFormat="1" x14ac:dyDescent="0.25">
      <c r="A40" s="13">
        <v>2</v>
      </c>
      <c r="B40" s="18" t="s">
        <v>73</v>
      </c>
      <c r="C40" s="117"/>
      <c r="D40" s="118"/>
      <c r="E40" s="117"/>
      <c r="F40" s="118"/>
      <c r="G40" s="117"/>
      <c r="H40" s="118"/>
      <c r="I40" s="117">
        <f t="shared" ref="I40:I61" si="13">G40*E40*C40</f>
        <v>0</v>
      </c>
      <c r="J40" s="118"/>
      <c r="K40" s="119"/>
      <c r="L40" s="120"/>
      <c r="M40" s="141">
        <f t="shared" ref="M40:M57" si="14">K40*I40</f>
        <v>0</v>
      </c>
      <c r="N40" s="142"/>
      <c r="O40" s="5">
        <v>0.85</v>
      </c>
      <c r="P40" s="71">
        <f t="shared" ref="P40:P61" si="15">M40/O40</f>
        <v>0</v>
      </c>
    </row>
    <row r="41" spans="1:23" s="22" customFormat="1" x14ac:dyDescent="0.25">
      <c r="A41" s="13">
        <v>3</v>
      </c>
      <c r="B41" s="18"/>
      <c r="C41" s="117"/>
      <c r="D41" s="118"/>
      <c r="E41" s="117"/>
      <c r="F41" s="118"/>
      <c r="G41" s="117"/>
      <c r="H41" s="118"/>
      <c r="I41" s="117">
        <f t="shared" si="13"/>
        <v>0</v>
      </c>
      <c r="J41" s="118"/>
      <c r="K41" s="119"/>
      <c r="L41" s="120"/>
      <c r="M41" s="141">
        <f t="shared" si="14"/>
        <v>0</v>
      </c>
      <c r="N41" s="142"/>
      <c r="O41" s="5">
        <v>0.85</v>
      </c>
      <c r="P41" s="71">
        <f t="shared" si="15"/>
        <v>0</v>
      </c>
    </row>
    <row r="42" spans="1:23" s="22" customFormat="1" x14ac:dyDescent="0.25">
      <c r="A42" s="13">
        <v>4</v>
      </c>
      <c r="B42" s="18"/>
      <c r="C42" s="117"/>
      <c r="D42" s="118"/>
      <c r="E42" s="117"/>
      <c r="F42" s="118"/>
      <c r="G42" s="117"/>
      <c r="H42" s="118"/>
      <c r="I42" s="117">
        <f t="shared" si="13"/>
        <v>0</v>
      </c>
      <c r="J42" s="118"/>
      <c r="K42" s="119"/>
      <c r="L42" s="120"/>
      <c r="M42" s="141">
        <f t="shared" si="14"/>
        <v>0</v>
      </c>
      <c r="N42" s="142"/>
      <c r="O42" s="5">
        <v>0.85</v>
      </c>
      <c r="P42" s="71">
        <f t="shared" si="15"/>
        <v>0</v>
      </c>
    </row>
    <row r="43" spans="1:23" s="22" customFormat="1" x14ac:dyDescent="0.25">
      <c r="A43" s="13">
        <v>5</v>
      </c>
      <c r="B43" s="18"/>
      <c r="C43" s="117"/>
      <c r="D43" s="118"/>
      <c r="E43" s="117"/>
      <c r="F43" s="118"/>
      <c r="G43" s="117"/>
      <c r="H43" s="118"/>
      <c r="I43" s="117">
        <f t="shared" si="13"/>
        <v>0</v>
      </c>
      <c r="J43" s="118"/>
      <c r="K43" s="119"/>
      <c r="L43" s="120"/>
      <c r="M43" s="141">
        <f t="shared" si="14"/>
        <v>0</v>
      </c>
      <c r="N43" s="142"/>
      <c r="O43" s="5">
        <v>0.85</v>
      </c>
      <c r="P43" s="71">
        <f t="shared" si="15"/>
        <v>0</v>
      </c>
    </row>
    <row r="44" spans="1:23" s="22" customFormat="1" x14ac:dyDescent="0.25">
      <c r="A44" s="13">
        <v>6</v>
      </c>
      <c r="B44" s="18"/>
      <c r="C44" s="117"/>
      <c r="D44" s="118"/>
      <c r="E44" s="117"/>
      <c r="F44" s="118"/>
      <c r="G44" s="117"/>
      <c r="H44" s="118"/>
      <c r="I44" s="117">
        <f t="shared" si="13"/>
        <v>0</v>
      </c>
      <c r="J44" s="118"/>
      <c r="K44" s="119"/>
      <c r="L44" s="120"/>
      <c r="M44" s="141">
        <f t="shared" si="14"/>
        <v>0</v>
      </c>
      <c r="N44" s="142"/>
      <c r="O44" s="5">
        <v>0.85</v>
      </c>
      <c r="P44" s="71">
        <f t="shared" si="15"/>
        <v>0</v>
      </c>
    </row>
    <row r="45" spans="1:23" s="22" customFormat="1" x14ac:dyDescent="0.25">
      <c r="A45" s="13">
        <v>7</v>
      </c>
      <c r="B45" s="18"/>
      <c r="C45" s="117"/>
      <c r="D45" s="118"/>
      <c r="E45" s="117"/>
      <c r="F45" s="118"/>
      <c r="G45" s="117"/>
      <c r="H45" s="118"/>
      <c r="I45" s="117">
        <f t="shared" si="13"/>
        <v>0</v>
      </c>
      <c r="J45" s="118"/>
      <c r="K45" s="119"/>
      <c r="L45" s="120"/>
      <c r="M45" s="141">
        <f t="shared" si="14"/>
        <v>0</v>
      </c>
      <c r="N45" s="142"/>
      <c r="O45" s="5">
        <v>0.85</v>
      </c>
      <c r="P45" s="71">
        <f t="shared" si="15"/>
        <v>0</v>
      </c>
    </row>
    <row r="46" spans="1:23" s="22" customFormat="1" x14ac:dyDescent="0.25">
      <c r="A46" s="13">
        <v>8</v>
      </c>
      <c r="B46" s="18"/>
      <c r="C46" s="117"/>
      <c r="D46" s="118"/>
      <c r="E46" s="117"/>
      <c r="F46" s="118"/>
      <c r="G46" s="117"/>
      <c r="H46" s="118"/>
      <c r="I46" s="117">
        <f t="shared" si="13"/>
        <v>0</v>
      </c>
      <c r="J46" s="118"/>
      <c r="K46" s="119"/>
      <c r="L46" s="120"/>
      <c r="M46" s="141">
        <f t="shared" si="14"/>
        <v>0</v>
      </c>
      <c r="N46" s="142"/>
      <c r="O46" s="5">
        <v>0.85</v>
      </c>
      <c r="P46" s="71">
        <f t="shared" si="15"/>
        <v>0</v>
      </c>
    </row>
    <row r="47" spans="1:23" s="22" customFormat="1" x14ac:dyDescent="0.25">
      <c r="A47" s="13">
        <v>9</v>
      </c>
      <c r="B47" s="18"/>
      <c r="C47" s="117"/>
      <c r="D47" s="118"/>
      <c r="E47" s="117"/>
      <c r="F47" s="118"/>
      <c r="G47" s="117"/>
      <c r="H47" s="118"/>
      <c r="I47" s="117">
        <f t="shared" si="13"/>
        <v>0</v>
      </c>
      <c r="J47" s="118"/>
      <c r="K47" s="119"/>
      <c r="L47" s="120"/>
      <c r="M47" s="141">
        <f t="shared" si="14"/>
        <v>0</v>
      </c>
      <c r="N47" s="142"/>
      <c r="O47" s="5">
        <v>0.85</v>
      </c>
      <c r="P47" s="71">
        <f t="shared" si="15"/>
        <v>0</v>
      </c>
    </row>
    <row r="48" spans="1:23" s="22" customFormat="1" x14ac:dyDescent="0.25">
      <c r="A48" s="13">
        <v>10</v>
      </c>
      <c r="B48" s="18"/>
      <c r="C48" s="117"/>
      <c r="D48" s="118"/>
      <c r="E48" s="117"/>
      <c r="F48" s="118"/>
      <c r="G48" s="117"/>
      <c r="H48" s="118"/>
      <c r="I48" s="117">
        <f t="shared" si="13"/>
        <v>0</v>
      </c>
      <c r="J48" s="118"/>
      <c r="K48" s="119"/>
      <c r="L48" s="120"/>
      <c r="M48" s="141">
        <f t="shared" si="14"/>
        <v>0</v>
      </c>
      <c r="N48" s="142"/>
      <c r="O48" s="5">
        <v>0.85</v>
      </c>
      <c r="P48" s="71">
        <f t="shared" si="15"/>
        <v>0</v>
      </c>
    </row>
    <row r="49" spans="1:23" s="22" customFormat="1" x14ac:dyDescent="0.25">
      <c r="A49" s="13">
        <v>11</v>
      </c>
      <c r="B49" s="18"/>
      <c r="C49" s="117"/>
      <c r="D49" s="118"/>
      <c r="E49" s="117"/>
      <c r="F49" s="118"/>
      <c r="G49" s="117"/>
      <c r="H49" s="118"/>
      <c r="I49" s="117">
        <f t="shared" si="13"/>
        <v>0</v>
      </c>
      <c r="J49" s="118"/>
      <c r="K49" s="119"/>
      <c r="L49" s="120"/>
      <c r="M49" s="141">
        <f t="shared" si="14"/>
        <v>0</v>
      </c>
      <c r="N49" s="142"/>
      <c r="O49" s="5">
        <v>0.85</v>
      </c>
      <c r="P49" s="71">
        <f t="shared" si="15"/>
        <v>0</v>
      </c>
    </row>
    <row r="50" spans="1:23" s="22" customFormat="1" x14ac:dyDescent="0.25">
      <c r="A50" s="13">
        <v>12</v>
      </c>
      <c r="B50" s="18"/>
      <c r="C50" s="117"/>
      <c r="D50" s="118"/>
      <c r="E50" s="117"/>
      <c r="F50" s="118"/>
      <c r="G50" s="117"/>
      <c r="H50" s="118"/>
      <c r="I50" s="117">
        <f t="shared" si="13"/>
        <v>0</v>
      </c>
      <c r="J50" s="118"/>
      <c r="K50" s="119"/>
      <c r="L50" s="120"/>
      <c r="M50" s="141">
        <f t="shared" si="14"/>
        <v>0</v>
      </c>
      <c r="N50" s="142"/>
      <c r="O50" s="5">
        <v>0.85</v>
      </c>
      <c r="P50" s="71">
        <f t="shared" si="15"/>
        <v>0</v>
      </c>
    </row>
    <row r="51" spans="1:23" s="22" customFormat="1" x14ac:dyDescent="0.25">
      <c r="A51" s="13">
        <v>13</v>
      </c>
      <c r="B51" s="18" t="s">
        <v>74</v>
      </c>
      <c r="C51" s="117"/>
      <c r="D51" s="118"/>
      <c r="E51" s="117"/>
      <c r="F51" s="118"/>
      <c r="G51" s="117"/>
      <c r="H51" s="118"/>
      <c r="I51" s="117">
        <f t="shared" si="13"/>
        <v>0</v>
      </c>
      <c r="J51" s="118"/>
      <c r="K51" s="119"/>
      <c r="L51" s="120"/>
      <c r="M51" s="141">
        <f t="shared" si="14"/>
        <v>0</v>
      </c>
      <c r="N51" s="142"/>
      <c r="O51" s="5">
        <v>0.85</v>
      </c>
      <c r="P51" s="71">
        <f t="shared" si="15"/>
        <v>0</v>
      </c>
    </row>
    <row r="52" spans="1:23" s="22" customFormat="1" x14ac:dyDescent="0.25">
      <c r="A52" s="13">
        <v>14</v>
      </c>
      <c r="B52" s="18" t="s">
        <v>75</v>
      </c>
      <c r="C52" s="117"/>
      <c r="D52" s="118"/>
      <c r="E52" s="117"/>
      <c r="F52" s="118"/>
      <c r="G52" s="117"/>
      <c r="H52" s="118"/>
      <c r="I52" s="117">
        <f t="shared" si="13"/>
        <v>0</v>
      </c>
      <c r="J52" s="118"/>
      <c r="K52" s="119"/>
      <c r="L52" s="120"/>
      <c r="M52" s="141">
        <f t="shared" si="14"/>
        <v>0</v>
      </c>
      <c r="N52" s="142"/>
      <c r="O52" s="5">
        <v>0.85</v>
      </c>
      <c r="P52" s="71">
        <f t="shared" si="15"/>
        <v>0</v>
      </c>
    </row>
    <row r="53" spans="1:23" s="22" customFormat="1" x14ac:dyDescent="0.25">
      <c r="A53" s="13">
        <v>15</v>
      </c>
      <c r="B53" s="72" t="s">
        <v>76</v>
      </c>
      <c r="C53" s="117"/>
      <c r="D53" s="118"/>
      <c r="E53" s="117"/>
      <c r="F53" s="118"/>
      <c r="G53" s="117"/>
      <c r="H53" s="118"/>
      <c r="I53" s="117">
        <f t="shared" si="13"/>
        <v>0</v>
      </c>
      <c r="J53" s="118"/>
      <c r="K53" s="119"/>
      <c r="L53" s="120"/>
      <c r="M53" s="141">
        <f t="shared" si="14"/>
        <v>0</v>
      </c>
      <c r="N53" s="142"/>
      <c r="O53" s="5">
        <v>0.85</v>
      </c>
      <c r="P53" s="71">
        <f>M53/O53</f>
        <v>0</v>
      </c>
    </row>
    <row r="54" spans="1:23" s="22" customFormat="1" x14ac:dyDescent="0.25">
      <c r="A54" s="13">
        <v>16</v>
      </c>
      <c r="B54" s="72" t="s">
        <v>77</v>
      </c>
      <c r="C54" s="117"/>
      <c r="D54" s="118"/>
      <c r="E54" s="117"/>
      <c r="F54" s="118"/>
      <c r="G54" s="117"/>
      <c r="H54" s="118"/>
      <c r="I54" s="117">
        <f t="shared" si="13"/>
        <v>0</v>
      </c>
      <c r="J54" s="118"/>
      <c r="K54" s="119"/>
      <c r="L54" s="120"/>
      <c r="M54" s="141">
        <f t="shared" si="14"/>
        <v>0</v>
      </c>
      <c r="N54" s="142"/>
      <c r="O54" s="5">
        <v>0.85</v>
      </c>
      <c r="P54" s="71">
        <f t="shared" si="15"/>
        <v>0</v>
      </c>
    </row>
    <row r="55" spans="1:23" s="22" customFormat="1" x14ac:dyDescent="0.25">
      <c r="A55" s="13">
        <v>17</v>
      </c>
      <c r="B55" s="72" t="s">
        <v>78</v>
      </c>
      <c r="C55" s="117"/>
      <c r="D55" s="118"/>
      <c r="E55" s="117"/>
      <c r="F55" s="118"/>
      <c r="G55" s="117"/>
      <c r="H55" s="118"/>
      <c r="I55" s="117">
        <f t="shared" si="13"/>
        <v>0</v>
      </c>
      <c r="J55" s="118"/>
      <c r="K55" s="119"/>
      <c r="L55" s="120"/>
      <c r="M55" s="141">
        <f t="shared" si="14"/>
        <v>0</v>
      </c>
      <c r="N55" s="142"/>
      <c r="O55" s="5">
        <v>0.85</v>
      </c>
      <c r="P55" s="71">
        <f t="shared" si="15"/>
        <v>0</v>
      </c>
    </row>
    <row r="56" spans="1:23" s="22" customFormat="1" x14ac:dyDescent="0.25">
      <c r="A56" s="13">
        <v>18</v>
      </c>
      <c r="B56" s="72" t="s">
        <v>79</v>
      </c>
      <c r="C56" s="117"/>
      <c r="D56" s="118"/>
      <c r="E56" s="117"/>
      <c r="F56" s="118"/>
      <c r="G56" s="117"/>
      <c r="H56" s="118"/>
      <c r="I56" s="117">
        <f t="shared" si="13"/>
        <v>0</v>
      </c>
      <c r="J56" s="118"/>
      <c r="K56" s="119"/>
      <c r="L56" s="120"/>
      <c r="M56" s="141">
        <f t="shared" si="14"/>
        <v>0</v>
      </c>
      <c r="N56" s="142"/>
      <c r="O56" s="5">
        <v>0.85</v>
      </c>
      <c r="P56" s="71">
        <f t="shared" si="15"/>
        <v>0</v>
      </c>
    </row>
    <row r="57" spans="1:23" s="22" customFormat="1" x14ac:dyDescent="0.25">
      <c r="A57" s="13">
        <v>19</v>
      </c>
      <c r="B57" s="72" t="s">
        <v>80</v>
      </c>
      <c r="C57" s="117"/>
      <c r="D57" s="118"/>
      <c r="E57" s="117"/>
      <c r="F57" s="118"/>
      <c r="G57" s="117"/>
      <c r="H57" s="118"/>
      <c r="I57" s="117">
        <f t="shared" si="13"/>
        <v>0</v>
      </c>
      <c r="J57" s="118"/>
      <c r="K57" s="119"/>
      <c r="L57" s="120"/>
      <c r="M57" s="141">
        <f t="shared" si="14"/>
        <v>0</v>
      </c>
      <c r="N57" s="142"/>
      <c r="O57" s="5">
        <v>0.85</v>
      </c>
      <c r="P57" s="71">
        <f t="shared" si="15"/>
        <v>0</v>
      </c>
    </row>
    <row r="58" spans="1:23" s="22" customFormat="1" ht="31.5" x14ac:dyDescent="0.25">
      <c r="A58" s="13">
        <v>20</v>
      </c>
      <c r="B58" s="72" t="s">
        <v>81</v>
      </c>
      <c r="C58" s="117"/>
      <c r="D58" s="118"/>
      <c r="E58" s="117"/>
      <c r="F58" s="118"/>
      <c r="G58" s="117"/>
      <c r="H58" s="118"/>
      <c r="I58" s="117">
        <f t="shared" si="13"/>
        <v>0</v>
      </c>
      <c r="J58" s="118"/>
      <c r="K58" s="119"/>
      <c r="L58" s="120"/>
      <c r="M58" s="141">
        <f>K58*I58</f>
        <v>0</v>
      </c>
      <c r="N58" s="142"/>
      <c r="O58" s="5">
        <v>0.85</v>
      </c>
      <c r="P58" s="71">
        <f t="shared" si="15"/>
        <v>0</v>
      </c>
    </row>
    <row r="59" spans="1:23" s="22" customFormat="1" x14ac:dyDescent="0.25">
      <c r="A59" s="13">
        <v>27</v>
      </c>
      <c r="B59" s="72" t="s">
        <v>37</v>
      </c>
      <c r="C59" s="117"/>
      <c r="D59" s="118"/>
      <c r="E59" s="117"/>
      <c r="F59" s="118"/>
      <c r="G59" s="117"/>
      <c r="H59" s="118"/>
      <c r="I59" s="117">
        <f t="shared" si="13"/>
        <v>0</v>
      </c>
      <c r="J59" s="118"/>
      <c r="K59" s="119"/>
      <c r="L59" s="120"/>
      <c r="M59" s="121">
        <f>K59*I59</f>
        <v>0</v>
      </c>
      <c r="N59" s="121"/>
      <c r="O59" s="5">
        <v>0.85</v>
      </c>
      <c r="P59" s="71">
        <f>M59/O59</f>
        <v>0</v>
      </c>
    </row>
    <row r="60" spans="1:23" x14ac:dyDescent="0.25">
      <c r="A60" s="13">
        <v>28</v>
      </c>
      <c r="B60" s="18"/>
      <c r="C60" s="117"/>
      <c r="D60" s="118"/>
      <c r="E60" s="117"/>
      <c r="F60" s="118"/>
      <c r="G60" s="117"/>
      <c r="H60" s="118"/>
      <c r="I60" s="117">
        <f t="shared" si="13"/>
        <v>0</v>
      </c>
      <c r="J60" s="118"/>
      <c r="K60" s="119"/>
      <c r="L60" s="120"/>
      <c r="M60" s="121">
        <f t="shared" ref="M60:M61" si="16">K60*I60</f>
        <v>0</v>
      </c>
      <c r="N60" s="121"/>
      <c r="O60" s="5">
        <v>0.85</v>
      </c>
      <c r="P60" s="71">
        <f>M60/O60</f>
        <v>0</v>
      </c>
      <c r="S60" s="22"/>
      <c r="T60" s="22"/>
      <c r="U60" s="22"/>
      <c r="V60" s="22"/>
      <c r="W60" s="22"/>
    </row>
    <row r="61" spans="1:23" x14ac:dyDescent="0.25">
      <c r="A61" s="13">
        <v>29</v>
      </c>
      <c r="B61" s="4"/>
      <c r="C61" s="117"/>
      <c r="D61" s="118"/>
      <c r="E61" s="117"/>
      <c r="F61" s="118"/>
      <c r="G61" s="117"/>
      <c r="H61" s="118"/>
      <c r="I61" s="117">
        <f t="shared" si="13"/>
        <v>0</v>
      </c>
      <c r="J61" s="118"/>
      <c r="K61" s="119"/>
      <c r="L61" s="120"/>
      <c r="M61" s="121">
        <f t="shared" si="16"/>
        <v>0</v>
      </c>
      <c r="N61" s="121"/>
      <c r="O61" s="5">
        <v>0.85</v>
      </c>
      <c r="P61" s="71">
        <f t="shared" si="15"/>
        <v>0</v>
      </c>
      <c r="S61" s="22"/>
      <c r="T61" s="73"/>
      <c r="U61" s="22"/>
      <c r="V61" s="22"/>
      <c r="W61" s="22"/>
    </row>
    <row r="62" spans="1:23" s="21" customFormat="1" ht="16.5" thickBot="1" x14ac:dyDescent="0.3">
      <c r="A62" s="109" t="s">
        <v>16</v>
      </c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74">
        <f>SUM(P39:P61)</f>
        <v>0</v>
      </c>
      <c r="S62" s="22"/>
      <c r="T62" s="22"/>
      <c r="U62" s="22"/>
      <c r="V62" s="22"/>
      <c r="W62" s="22"/>
    </row>
    <row r="63" spans="1:23" ht="16.5" thickTop="1" x14ac:dyDescent="0.25">
      <c r="A63" s="111"/>
      <c r="B63" s="112"/>
      <c r="C63" s="112"/>
      <c r="D63" s="112"/>
      <c r="E63" s="112"/>
      <c r="F63" s="112"/>
      <c r="G63" s="112"/>
      <c r="H63" s="112"/>
      <c r="I63" s="112"/>
      <c r="J63" s="112"/>
      <c r="K63" s="112"/>
      <c r="L63" s="112"/>
      <c r="M63" s="112"/>
      <c r="N63" s="112"/>
      <c r="O63" s="112"/>
      <c r="P63" s="113"/>
      <c r="S63" s="22"/>
      <c r="T63" s="22"/>
      <c r="U63" s="22"/>
      <c r="V63" s="22"/>
      <c r="W63" s="22"/>
    </row>
    <row r="64" spans="1:23" x14ac:dyDescent="0.25">
      <c r="A64" s="114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6"/>
      <c r="S64" s="22"/>
      <c r="T64" s="22"/>
      <c r="U64" s="22"/>
      <c r="V64" s="22"/>
      <c r="W64" s="22"/>
    </row>
    <row r="65" spans="1:23" x14ac:dyDescent="0.25">
      <c r="A65" s="98" t="s">
        <v>14</v>
      </c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100"/>
      <c r="P65" s="75">
        <f>P26+P36+P62</f>
        <v>0</v>
      </c>
      <c r="S65" s="22"/>
      <c r="T65" s="22"/>
      <c r="U65" s="22"/>
      <c r="V65" s="22"/>
      <c r="W65" s="22"/>
    </row>
    <row r="66" spans="1:23" x14ac:dyDescent="0.25">
      <c r="A66" s="98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100"/>
      <c r="S66" s="22"/>
      <c r="T66" s="22"/>
      <c r="U66" s="22"/>
      <c r="V66" s="22"/>
      <c r="W66" s="22"/>
    </row>
    <row r="67" spans="1:23" x14ac:dyDescent="0.25">
      <c r="A67" s="98" t="s">
        <v>15</v>
      </c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100"/>
      <c r="P67" s="75">
        <v>0</v>
      </c>
      <c r="S67" s="22"/>
      <c r="T67" s="22"/>
      <c r="U67" s="22"/>
      <c r="V67" s="22"/>
      <c r="W67" s="22"/>
    </row>
    <row r="68" spans="1:23" x14ac:dyDescent="0.25">
      <c r="A68" s="98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100"/>
      <c r="S68" s="22"/>
      <c r="T68" s="22"/>
      <c r="U68" s="22"/>
      <c r="V68" s="22"/>
      <c r="W68" s="22"/>
    </row>
    <row r="69" spans="1:23" x14ac:dyDescent="0.25">
      <c r="A69" s="103" t="s">
        <v>20</v>
      </c>
      <c r="B69" s="103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75">
        <v>0</v>
      </c>
      <c r="S69" s="22"/>
      <c r="T69" s="22"/>
      <c r="U69" s="22"/>
      <c r="V69" s="22"/>
      <c r="W69" s="22"/>
    </row>
    <row r="70" spans="1:23" x14ac:dyDescent="0.25">
      <c r="A70" s="98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100"/>
      <c r="S70" s="22"/>
      <c r="T70" s="22"/>
      <c r="U70" s="22"/>
      <c r="V70" s="22"/>
      <c r="W70" s="22"/>
    </row>
    <row r="71" spans="1:23" x14ac:dyDescent="0.25">
      <c r="A71" s="104" t="s">
        <v>49</v>
      </c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76">
        <v>0</v>
      </c>
      <c r="S71" s="22"/>
      <c r="T71" s="22"/>
      <c r="U71" s="22"/>
      <c r="V71" s="22"/>
      <c r="W71" s="22"/>
    </row>
    <row r="72" spans="1:23" x14ac:dyDescent="0.25">
      <c r="A72" s="105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7"/>
      <c r="S72" s="22"/>
      <c r="T72" s="22"/>
      <c r="U72" s="22"/>
      <c r="V72" s="22"/>
      <c r="W72" s="22"/>
    </row>
    <row r="73" spans="1:23" x14ac:dyDescent="0.25">
      <c r="A73" s="98" t="s">
        <v>10</v>
      </c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100"/>
      <c r="P73" s="75">
        <f>SUM(P65,P67,P69, P71)</f>
        <v>0</v>
      </c>
      <c r="S73" s="22"/>
      <c r="T73" s="73"/>
      <c r="U73" s="22"/>
      <c r="V73" s="22"/>
      <c r="W73" s="22"/>
    </row>
    <row r="74" spans="1:23" x14ac:dyDescent="0.25">
      <c r="A74" s="98" t="s">
        <v>21</v>
      </c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100"/>
      <c r="P74" s="75">
        <f>P73*0.13</f>
        <v>0</v>
      </c>
    </row>
    <row r="75" spans="1:23" x14ac:dyDescent="0.25">
      <c r="A75" s="98" t="s">
        <v>22</v>
      </c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100"/>
      <c r="P75" s="75">
        <f>P73+P74</f>
        <v>0</v>
      </c>
    </row>
    <row r="76" spans="1:23" x14ac:dyDescent="0.25">
      <c r="A76" s="27" t="s">
        <v>35</v>
      </c>
      <c r="P76" s="29">
        <f>P73*1.13</f>
        <v>0</v>
      </c>
    </row>
    <row r="84" spans="2:11" ht="16.5" thickBot="1" x14ac:dyDescent="0.3"/>
    <row r="85" spans="2:11" ht="32.25" thickBot="1" x14ac:dyDescent="0.3">
      <c r="B85" s="27" t="s">
        <v>91</v>
      </c>
      <c r="C85" s="81" t="s">
        <v>92</v>
      </c>
      <c r="D85" s="93" t="s">
        <v>93</v>
      </c>
      <c r="E85" s="93"/>
      <c r="F85" s="82" t="s">
        <v>94</v>
      </c>
      <c r="G85" s="82" t="s">
        <v>95</v>
      </c>
      <c r="H85" s="83" t="s">
        <v>96</v>
      </c>
      <c r="I85" s="83" t="s">
        <v>97</v>
      </c>
    </row>
    <row r="86" spans="2:11" x14ac:dyDescent="0.25">
      <c r="B86" s="77" t="s">
        <v>98</v>
      </c>
      <c r="C86" s="84">
        <v>98.21</v>
      </c>
      <c r="D86" s="108">
        <f>(C86+17)</f>
        <v>115.21</v>
      </c>
      <c r="E86" s="108"/>
      <c r="F86" s="85">
        <v>196.41</v>
      </c>
      <c r="G86" s="85">
        <f>(F86+17)</f>
        <v>213.41</v>
      </c>
      <c r="H86" s="86">
        <v>112.94</v>
      </c>
      <c r="I86" s="87">
        <f>H86+17</f>
        <v>129.94</v>
      </c>
      <c r="J86" s="63"/>
      <c r="K86" s="63"/>
    </row>
    <row r="87" spans="2:11" x14ac:dyDescent="0.25">
      <c r="B87" s="77" t="s">
        <v>99</v>
      </c>
      <c r="C87" s="88">
        <v>87.65</v>
      </c>
      <c r="D87" s="97">
        <f>(C87+17)</f>
        <v>104.65</v>
      </c>
      <c r="E87" s="97"/>
      <c r="F87" s="89">
        <v>175.31</v>
      </c>
      <c r="G87" s="89">
        <f>(F87+17)</f>
        <v>192.31</v>
      </c>
      <c r="H87" s="90">
        <v>100.8</v>
      </c>
      <c r="I87" s="91">
        <f>H87+17</f>
        <v>117.8</v>
      </c>
      <c r="J87" s="63"/>
      <c r="K87" s="63"/>
    </row>
    <row r="88" spans="2:11" x14ac:dyDescent="0.25">
      <c r="B88" s="77" t="s">
        <v>100</v>
      </c>
      <c r="C88" s="88">
        <v>71.38</v>
      </c>
      <c r="D88" s="97">
        <f t="shared" ref="D88:D92" si="17">(C88+17)</f>
        <v>88.38</v>
      </c>
      <c r="E88" s="97"/>
      <c r="F88" s="89">
        <v>142.72999999999999</v>
      </c>
      <c r="G88" s="89">
        <f t="shared" ref="G88:G92" si="18">(F88+17)</f>
        <v>159.72999999999999</v>
      </c>
      <c r="H88" s="90">
        <v>82.09</v>
      </c>
      <c r="I88" s="91">
        <f t="shared" ref="I88:I92" si="19">H88+17</f>
        <v>99.09</v>
      </c>
      <c r="J88" s="63"/>
      <c r="K88" s="63"/>
    </row>
    <row r="89" spans="2:11" x14ac:dyDescent="0.25">
      <c r="B89" s="77" t="s">
        <v>101</v>
      </c>
      <c r="C89" s="88">
        <v>63.34</v>
      </c>
      <c r="D89" s="97">
        <f t="shared" si="17"/>
        <v>80.34</v>
      </c>
      <c r="E89" s="97"/>
      <c r="F89" s="89">
        <v>126.7</v>
      </c>
      <c r="G89" s="89">
        <f t="shared" si="18"/>
        <v>143.69999999999999</v>
      </c>
      <c r="H89" s="90">
        <v>72.84</v>
      </c>
      <c r="I89" s="91">
        <f t="shared" si="19"/>
        <v>89.84</v>
      </c>
      <c r="J89" s="63"/>
      <c r="K89" s="63"/>
    </row>
    <row r="90" spans="2:11" x14ac:dyDescent="0.25">
      <c r="B90" s="77" t="s">
        <v>102</v>
      </c>
      <c r="C90" s="88">
        <v>55.33</v>
      </c>
      <c r="D90" s="97">
        <f t="shared" si="17"/>
        <v>72.33</v>
      </c>
      <c r="E90" s="97"/>
      <c r="F90" s="89">
        <v>110.64</v>
      </c>
      <c r="G90" s="89">
        <f t="shared" si="18"/>
        <v>127.64</v>
      </c>
      <c r="H90" s="90">
        <v>63.63</v>
      </c>
      <c r="I90" s="91">
        <f t="shared" si="19"/>
        <v>80.63</v>
      </c>
      <c r="J90" s="63"/>
      <c r="K90" s="63"/>
    </row>
    <row r="91" spans="2:11" x14ac:dyDescent="0.25">
      <c r="B91" s="77" t="s">
        <v>103</v>
      </c>
      <c r="C91" s="88">
        <v>47.3</v>
      </c>
      <c r="D91" s="97">
        <f t="shared" si="17"/>
        <v>64.3</v>
      </c>
      <c r="E91" s="97"/>
      <c r="F91" s="89">
        <v>94.59</v>
      </c>
      <c r="G91" s="89">
        <f t="shared" si="18"/>
        <v>111.59</v>
      </c>
      <c r="H91" s="90">
        <v>54.4</v>
      </c>
      <c r="I91" s="91">
        <f t="shared" si="19"/>
        <v>71.400000000000006</v>
      </c>
      <c r="J91" s="63"/>
      <c r="K91" s="63"/>
    </row>
    <row r="92" spans="2:11" x14ac:dyDescent="0.25">
      <c r="B92" s="77" t="s">
        <v>104</v>
      </c>
      <c r="C92" s="88">
        <v>39.25</v>
      </c>
      <c r="D92" s="97">
        <f t="shared" si="17"/>
        <v>56.25</v>
      </c>
      <c r="E92" s="97"/>
      <c r="F92" s="89">
        <v>78.489999999999995</v>
      </c>
      <c r="G92" s="89">
        <f t="shared" si="18"/>
        <v>95.49</v>
      </c>
      <c r="H92" s="90">
        <v>45.14</v>
      </c>
      <c r="I92" s="91">
        <f t="shared" si="19"/>
        <v>62.14</v>
      </c>
      <c r="J92" s="63"/>
      <c r="K92" s="63"/>
    </row>
    <row r="93" spans="2:11" ht="16.5" thickBot="1" x14ac:dyDescent="0.3">
      <c r="D93" s="101"/>
      <c r="E93" s="102"/>
    </row>
    <row r="94" spans="2:11" ht="32.25" thickBot="1" x14ac:dyDescent="0.3">
      <c r="B94" s="27" t="s">
        <v>105</v>
      </c>
      <c r="C94" s="81" t="s">
        <v>92</v>
      </c>
      <c r="D94" s="93" t="s">
        <v>93</v>
      </c>
      <c r="E94" s="93"/>
      <c r="F94" s="82" t="s">
        <v>94</v>
      </c>
      <c r="G94" s="82" t="s">
        <v>95</v>
      </c>
      <c r="H94" s="83" t="s">
        <v>96</v>
      </c>
      <c r="I94" s="83" t="s">
        <v>97</v>
      </c>
      <c r="K94" s="33" t="s">
        <v>19</v>
      </c>
    </row>
    <row r="95" spans="2:11" x14ac:dyDescent="0.25">
      <c r="B95" s="77" t="s">
        <v>98</v>
      </c>
      <c r="C95" s="92">
        <f>C86/$K$95</f>
        <v>122.76249999999999</v>
      </c>
      <c r="D95" s="94">
        <f>D86/$K$95</f>
        <v>144.01249999999999</v>
      </c>
      <c r="E95" s="95"/>
      <c r="F95" s="92">
        <f>F86/$K$95</f>
        <v>245.51249999999999</v>
      </c>
      <c r="G95" s="92">
        <f>G86/$K$95</f>
        <v>266.76249999999999</v>
      </c>
      <c r="H95" s="92">
        <f>H86/$K$95</f>
        <v>141.17499999999998</v>
      </c>
      <c r="I95" s="92">
        <f>I86/$K$95</f>
        <v>162.42499999999998</v>
      </c>
      <c r="K95" s="5">
        <v>0.8</v>
      </c>
    </row>
    <row r="96" spans="2:11" x14ac:dyDescent="0.25">
      <c r="B96" s="77" t="s">
        <v>99</v>
      </c>
      <c r="C96" s="92">
        <f t="shared" ref="C96:D101" si="20">C87/$K$95</f>
        <v>109.5625</v>
      </c>
      <c r="D96" s="97">
        <f t="shared" si="20"/>
        <v>130.8125</v>
      </c>
      <c r="E96" s="97"/>
      <c r="F96" s="92">
        <f t="shared" ref="F96:I101" si="21">F87/$K$95</f>
        <v>219.13749999999999</v>
      </c>
      <c r="G96" s="92">
        <f t="shared" si="21"/>
        <v>240.38749999999999</v>
      </c>
      <c r="H96" s="92">
        <f t="shared" si="21"/>
        <v>125.99999999999999</v>
      </c>
      <c r="I96" s="92">
        <f t="shared" si="21"/>
        <v>147.25</v>
      </c>
    </row>
    <row r="97" spans="2:9" x14ac:dyDescent="0.25">
      <c r="B97" s="77" t="s">
        <v>100</v>
      </c>
      <c r="C97" s="92">
        <f t="shared" si="20"/>
        <v>89.224999999999994</v>
      </c>
      <c r="D97" s="97">
        <f t="shared" si="20"/>
        <v>110.47499999999999</v>
      </c>
      <c r="E97" s="97"/>
      <c r="F97" s="92">
        <f t="shared" si="21"/>
        <v>178.41249999999997</v>
      </c>
      <c r="G97" s="92">
        <f t="shared" si="21"/>
        <v>199.66249999999997</v>
      </c>
      <c r="H97" s="92">
        <f t="shared" si="21"/>
        <v>102.6125</v>
      </c>
      <c r="I97" s="92">
        <f t="shared" si="21"/>
        <v>123.8625</v>
      </c>
    </row>
    <row r="98" spans="2:9" x14ac:dyDescent="0.25">
      <c r="B98" s="77" t="s">
        <v>101</v>
      </c>
      <c r="C98" s="92">
        <f t="shared" si="20"/>
        <v>79.174999999999997</v>
      </c>
      <c r="D98" s="97">
        <f t="shared" si="20"/>
        <v>100.425</v>
      </c>
      <c r="E98" s="97"/>
      <c r="F98" s="92">
        <f t="shared" si="21"/>
        <v>158.375</v>
      </c>
      <c r="G98" s="92">
        <f t="shared" si="21"/>
        <v>179.62499999999997</v>
      </c>
      <c r="H98" s="92">
        <f t="shared" si="21"/>
        <v>91.05</v>
      </c>
      <c r="I98" s="92">
        <f t="shared" si="21"/>
        <v>112.3</v>
      </c>
    </row>
    <row r="99" spans="2:9" x14ac:dyDescent="0.25">
      <c r="B99" s="77" t="s">
        <v>102</v>
      </c>
      <c r="C99" s="92">
        <f t="shared" si="20"/>
        <v>69.162499999999994</v>
      </c>
      <c r="D99" s="97">
        <f t="shared" si="20"/>
        <v>90.412499999999994</v>
      </c>
      <c r="E99" s="97"/>
      <c r="F99" s="92">
        <f t="shared" si="21"/>
        <v>138.29999999999998</v>
      </c>
      <c r="G99" s="92">
        <f t="shared" si="21"/>
        <v>159.54999999999998</v>
      </c>
      <c r="H99" s="92">
        <f t="shared" si="21"/>
        <v>79.537499999999994</v>
      </c>
      <c r="I99" s="92">
        <f t="shared" si="21"/>
        <v>100.78749999999999</v>
      </c>
    </row>
    <row r="100" spans="2:9" x14ac:dyDescent="0.25">
      <c r="B100" s="77" t="s">
        <v>103</v>
      </c>
      <c r="C100" s="92">
        <f t="shared" si="20"/>
        <v>59.124999999999993</v>
      </c>
      <c r="D100" s="97">
        <f t="shared" si="20"/>
        <v>80.374999999999986</v>
      </c>
      <c r="E100" s="97"/>
      <c r="F100" s="92">
        <f t="shared" si="21"/>
        <v>118.2375</v>
      </c>
      <c r="G100" s="92">
        <f t="shared" si="21"/>
        <v>139.48749999999998</v>
      </c>
      <c r="H100" s="92">
        <f t="shared" si="21"/>
        <v>68</v>
      </c>
      <c r="I100" s="92">
        <f t="shared" si="21"/>
        <v>89.25</v>
      </c>
    </row>
    <row r="101" spans="2:9" x14ac:dyDescent="0.25">
      <c r="B101" s="77" t="s">
        <v>104</v>
      </c>
      <c r="C101" s="92">
        <f t="shared" si="20"/>
        <v>49.0625</v>
      </c>
      <c r="D101" s="97">
        <f t="shared" si="20"/>
        <v>70.3125</v>
      </c>
      <c r="E101" s="97"/>
      <c r="F101" s="92">
        <f t="shared" si="21"/>
        <v>98.112499999999983</v>
      </c>
      <c r="G101" s="92">
        <f t="shared" si="21"/>
        <v>119.36249999999998</v>
      </c>
      <c r="H101" s="92">
        <f t="shared" si="21"/>
        <v>56.424999999999997</v>
      </c>
      <c r="I101" s="92">
        <f t="shared" si="21"/>
        <v>77.674999999999997</v>
      </c>
    </row>
    <row r="102" spans="2:9" x14ac:dyDescent="0.25">
      <c r="D102" s="96"/>
      <c r="E102" s="96"/>
    </row>
    <row r="103" spans="2:9" x14ac:dyDescent="0.25">
      <c r="D103" s="96"/>
      <c r="E103" s="96"/>
    </row>
    <row r="104" spans="2:9" x14ac:dyDescent="0.25">
      <c r="B104" s="27" t="s">
        <v>106</v>
      </c>
      <c r="C104" s="27" t="s">
        <v>107</v>
      </c>
    </row>
    <row r="105" spans="2:9" x14ac:dyDescent="0.25">
      <c r="B105" s="27" t="s">
        <v>108</v>
      </c>
      <c r="C105" s="27">
        <v>8.6999999999999993</v>
      </c>
      <c r="G105" s="96">
        <v>2500000</v>
      </c>
      <c r="H105" s="96"/>
      <c r="I105" s="63">
        <f>G105/1000*C105</f>
        <v>21750</v>
      </c>
    </row>
    <row r="106" spans="2:9" x14ac:dyDescent="0.25">
      <c r="B106" s="27" t="s">
        <v>109</v>
      </c>
      <c r="C106" s="27">
        <v>7.9</v>
      </c>
      <c r="G106" s="96">
        <v>2500000</v>
      </c>
      <c r="H106" s="96"/>
      <c r="I106" s="63">
        <f>G106/1000*C106</f>
        <v>19750</v>
      </c>
    </row>
    <row r="107" spans="2:9" x14ac:dyDescent="0.25">
      <c r="B107" s="27" t="s">
        <v>110</v>
      </c>
      <c r="C107" s="27">
        <v>6.95</v>
      </c>
      <c r="G107" s="96">
        <v>2500000</v>
      </c>
      <c r="H107" s="96"/>
      <c r="I107" s="63">
        <f>G107/1000*C107</f>
        <v>17375</v>
      </c>
    </row>
    <row r="108" spans="2:9" x14ac:dyDescent="0.25">
      <c r="B108" s="27" t="s">
        <v>111</v>
      </c>
      <c r="I108" s="63">
        <f>I105+I106+I107</f>
        <v>58875</v>
      </c>
    </row>
    <row r="109" spans="2:9" x14ac:dyDescent="0.25">
      <c r="B109" s="27" t="s">
        <v>112</v>
      </c>
      <c r="C109" s="27">
        <v>12</v>
      </c>
      <c r="I109" s="63">
        <f>I108*C109*0.01</f>
        <v>7065</v>
      </c>
    </row>
    <row r="110" spans="2:9" x14ac:dyDescent="0.25">
      <c r="B110" s="27" t="s">
        <v>113</v>
      </c>
      <c r="I110" s="63">
        <f>I108+I109</f>
        <v>65940</v>
      </c>
    </row>
    <row r="111" spans="2:9" x14ac:dyDescent="0.25">
      <c r="B111" s="27" t="s">
        <v>114</v>
      </c>
      <c r="I111" s="63">
        <f>I110/0.9</f>
        <v>73266.666666666672</v>
      </c>
    </row>
    <row r="114" spans="6:7" x14ac:dyDescent="0.25">
      <c r="F114" s="21"/>
      <c r="G114" s="21"/>
    </row>
    <row r="115" spans="6:7" x14ac:dyDescent="0.25">
      <c r="F115" s="21"/>
      <c r="G115" s="77"/>
    </row>
    <row r="116" spans="6:7" x14ac:dyDescent="0.25">
      <c r="F116" s="21"/>
      <c r="G116" s="77"/>
    </row>
    <row r="117" spans="6:7" x14ac:dyDescent="0.25">
      <c r="F117" s="21"/>
      <c r="G117" s="77"/>
    </row>
    <row r="118" spans="6:7" x14ac:dyDescent="0.25">
      <c r="F118" s="21"/>
      <c r="G118" s="77"/>
    </row>
    <row r="119" spans="6:7" x14ac:dyDescent="0.25">
      <c r="F119" s="21"/>
      <c r="G119" s="77"/>
    </row>
  </sheetData>
  <mergeCells count="249">
    <mergeCell ref="G105:H105"/>
    <mergeCell ref="G106:H106"/>
    <mergeCell ref="G107:H107"/>
    <mergeCell ref="D100:E100"/>
    <mergeCell ref="D101:E101"/>
    <mergeCell ref="D102:E102"/>
    <mergeCell ref="D103:E103"/>
    <mergeCell ref="D90:E90"/>
    <mergeCell ref="D91:E91"/>
    <mergeCell ref="D98:E98"/>
    <mergeCell ref="D99:E99"/>
    <mergeCell ref="D92:E92"/>
    <mergeCell ref="D93:E93"/>
    <mergeCell ref="D94:E94"/>
    <mergeCell ref="D95:E95"/>
    <mergeCell ref="D96:E96"/>
    <mergeCell ref="D97:E97"/>
    <mergeCell ref="A75:O75"/>
    <mergeCell ref="D87:E87"/>
    <mergeCell ref="D88:E88"/>
    <mergeCell ref="D89:E89"/>
    <mergeCell ref="A69:O69"/>
    <mergeCell ref="A70:P70"/>
    <mergeCell ref="A71:O71"/>
    <mergeCell ref="A72:P72"/>
    <mergeCell ref="A73:O73"/>
    <mergeCell ref="A74:O74"/>
    <mergeCell ref="D85:E85"/>
    <mergeCell ref="D86:E86"/>
    <mergeCell ref="A62:O62"/>
    <mergeCell ref="A63:P64"/>
    <mergeCell ref="A65:O65"/>
    <mergeCell ref="A66:P66"/>
    <mergeCell ref="A67:O67"/>
    <mergeCell ref="A68:P68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M59:N59"/>
    <mergeCell ref="C58:D58"/>
    <mergeCell ref="E58:F58"/>
    <mergeCell ref="G58:H58"/>
    <mergeCell ref="I58:J58"/>
    <mergeCell ref="K58:L58"/>
    <mergeCell ref="M58:N58"/>
    <mergeCell ref="C57:D57"/>
    <mergeCell ref="E57:F57"/>
    <mergeCell ref="G57:H57"/>
    <mergeCell ref="I57:J57"/>
    <mergeCell ref="K57:L57"/>
    <mergeCell ref="M57:N57"/>
    <mergeCell ref="C56:D56"/>
    <mergeCell ref="E56:F56"/>
    <mergeCell ref="G56:H56"/>
    <mergeCell ref="I56:J56"/>
    <mergeCell ref="K56:L56"/>
    <mergeCell ref="M56:N56"/>
    <mergeCell ref="C55:D55"/>
    <mergeCell ref="E55:F55"/>
    <mergeCell ref="G55:H55"/>
    <mergeCell ref="I55:J55"/>
    <mergeCell ref="K55:L55"/>
    <mergeCell ref="M55:N55"/>
    <mergeCell ref="C54:D54"/>
    <mergeCell ref="E54:F54"/>
    <mergeCell ref="G54:H54"/>
    <mergeCell ref="I54:J54"/>
    <mergeCell ref="K54:L54"/>
    <mergeCell ref="M54:N54"/>
    <mergeCell ref="C53:D53"/>
    <mergeCell ref="E53:F53"/>
    <mergeCell ref="G53:H53"/>
    <mergeCell ref="I53:J53"/>
    <mergeCell ref="K53:L53"/>
    <mergeCell ref="M53:N53"/>
    <mergeCell ref="C52:D52"/>
    <mergeCell ref="E52:F52"/>
    <mergeCell ref="G52:H52"/>
    <mergeCell ref="I52:J52"/>
    <mergeCell ref="K52:L52"/>
    <mergeCell ref="M52:N52"/>
    <mergeCell ref="C51:D51"/>
    <mergeCell ref="E51:F51"/>
    <mergeCell ref="G51:H51"/>
    <mergeCell ref="I51:J51"/>
    <mergeCell ref="K51:L51"/>
    <mergeCell ref="M51:N51"/>
    <mergeCell ref="C50:D50"/>
    <mergeCell ref="E50:F50"/>
    <mergeCell ref="G50:H50"/>
    <mergeCell ref="I50:J50"/>
    <mergeCell ref="K50:L50"/>
    <mergeCell ref="M50:N50"/>
    <mergeCell ref="C49:D49"/>
    <mergeCell ref="E49:F49"/>
    <mergeCell ref="G49:H49"/>
    <mergeCell ref="I49:J49"/>
    <mergeCell ref="K49:L49"/>
    <mergeCell ref="M49:N49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M46:N46"/>
    <mergeCell ref="C45:D45"/>
    <mergeCell ref="E45:F45"/>
    <mergeCell ref="G45:H45"/>
    <mergeCell ref="I45:J45"/>
    <mergeCell ref="K45:L45"/>
    <mergeCell ref="M45:N45"/>
    <mergeCell ref="C44:D44"/>
    <mergeCell ref="E44:F44"/>
    <mergeCell ref="G44:H44"/>
    <mergeCell ref="I44:J44"/>
    <mergeCell ref="K44:L44"/>
    <mergeCell ref="M44:N44"/>
    <mergeCell ref="C43:D43"/>
    <mergeCell ref="E43:F43"/>
    <mergeCell ref="G43:H43"/>
    <mergeCell ref="I43:J43"/>
    <mergeCell ref="K43:L43"/>
    <mergeCell ref="M43:N43"/>
    <mergeCell ref="C42:D42"/>
    <mergeCell ref="E42:F42"/>
    <mergeCell ref="G42:H42"/>
    <mergeCell ref="I42:J42"/>
    <mergeCell ref="K42:L42"/>
    <mergeCell ref="M42:N42"/>
    <mergeCell ref="C41:D41"/>
    <mergeCell ref="E41:F41"/>
    <mergeCell ref="G41:H41"/>
    <mergeCell ref="I41:J41"/>
    <mergeCell ref="K41:L41"/>
    <mergeCell ref="M41:N41"/>
    <mergeCell ref="C40:D40"/>
    <mergeCell ref="E40:F40"/>
    <mergeCell ref="G40:H40"/>
    <mergeCell ref="I40:J40"/>
    <mergeCell ref="K40:L40"/>
    <mergeCell ref="M40:N40"/>
    <mergeCell ref="C39:D39"/>
    <mergeCell ref="E39:F39"/>
    <mergeCell ref="G39:H39"/>
    <mergeCell ref="I39:J39"/>
    <mergeCell ref="K39:L39"/>
    <mergeCell ref="M39:N39"/>
    <mergeCell ref="A36:O36"/>
    <mergeCell ref="A37:P37"/>
    <mergeCell ref="C38:D38"/>
    <mergeCell ref="E38:F38"/>
    <mergeCell ref="G38:H38"/>
    <mergeCell ref="I38:J38"/>
    <mergeCell ref="K38:L38"/>
    <mergeCell ref="M38:N38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M34:N34"/>
    <mergeCell ref="C33:D33"/>
    <mergeCell ref="E33:F33"/>
    <mergeCell ref="G33:H33"/>
    <mergeCell ref="I33:J33"/>
    <mergeCell ref="K33:L33"/>
    <mergeCell ref="M33:N33"/>
    <mergeCell ref="C32:D32"/>
    <mergeCell ref="E32:F32"/>
    <mergeCell ref="G32:H32"/>
    <mergeCell ref="I32:J32"/>
    <mergeCell ref="K32:L32"/>
    <mergeCell ref="M32:N32"/>
    <mergeCell ref="C31:D31"/>
    <mergeCell ref="E31:F31"/>
    <mergeCell ref="G31:H31"/>
    <mergeCell ref="I31:J31"/>
    <mergeCell ref="K31:L31"/>
    <mergeCell ref="M31:N31"/>
    <mergeCell ref="C30:D30"/>
    <mergeCell ref="E30:F30"/>
    <mergeCell ref="G30:H30"/>
    <mergeCell ref="I30:J30"/>
    <mergeCell ref="K30:L30"/>
    <mergeCell ref="M30:N30"/>
    <mergeCell ref="C29:D29"/>
    <mergeCell ref="E29:F29"/>
    <mergeCell ref="G29:H29"/>
    <mergeCell ref="I29:J29"/>
    <mergeCell ref="K29:L29"/>
    <mergeCell ref="M29:N29"/>
    <mergeCell ref="A27:P27"/>
    <mergeCell ref="C28:D28"/>
    <mergeCell ref="E28:F28"/>
    <mergeCell ref="G28:H28"/>
    <mergeCell ref="I28:J28"/>
    <mergeCell ref="K28:L28"/>
    <mergeCell ref="M28:N28"/>
    <mergeCell ref="A6:P6"/>
    <mergeCell ref="A14:E14"/>
    <mergeCell ref="I14:K14"/>
    <mergeCell ref="A15:P15"/>
    <mergeCell ref="A16:P16"/>
    <mergeCell ref="A25:E25"/>
    <mergeCell ref="G25:G26"/>
    <mergeCell ref="I25:K26"/>
    <mergeCell ref="M25:M26"/>
    <mergeCell ref="O25:O26"/>
    <mergeCell ref="A1:P2"/>
    <mergeCell ref="A3:P3"/>
    <mergeCell ref="A4:A5"/>
    <mergeCell ref="B4:B5"/>
    <mergeCell ref="C4:H4"/>
    <mergeCell ref="I4:N4"/>
    <mergeCell ref="O4:O5"/>
    <mergeCell ref="P4:P5"/>
    <mergeCell ref="A26:E26"/>
  </mergeCells>
  <dataValidations count="1">
    <dataValidation type="list" allowBlank="1" showInputMessage="1" showErrorMessage="1" sqref="O7:O13 O17:O24 O29:O35 O39:O61 K95" xr:uid="{15BCBDF9-6AC7-4E91-97AC-989F74310FBB}">
      <formula1>"1,.95,.94,.93,.92,.91,.9,.89,.88,.87,.86,.85,.84,.83,.82,.81,.8,.79,.78,.77,.76,.75,.74,.73,.72,.71,.7,.66"</formula1>
    </dataValidation>
  </dataValidations>
  <printOptions horizontalCentered="1" verticalCentered="1"/>
  <pageMargins left="0.45" right="0.45" top="0.75" bottom="0.75" header="0.3" footer="0.3"/>
  <pageSetup paperSize="17" scale="72" fitToHeight="0" orientation="portrait" horizontalDpi="300" verticalDpi="300" r:id="rId1"/>
  <colBreaks count="1" manualBreakCount="1">
    <brk id="16" max="83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742A2-0B78-449C-BA18-45D9B37A15F3}">
  <dimension ref="A1:W119"/>
  <sheetViews>
    <sheetView zoomScale="80" zoomScaleNormal="80" workbookViewId="0">
      <selection activeCell="A37" sqref="A37:P37"/>
    </sheetView>
  </sheetViews>
  <sheetFormatPr defaultColWidth="9.140625" defaultRowHeight="15.75" x14ac:dyDescent="0.25"/>
  <cols>
    <col min="1" max="1" width="9.140625" style="27"/>
    <col min="2" max="2" width="44.85546875" style="27" customWidth="1"/>
    <col min="3" max="3" width="14.140625" style="27" customWidth="1"/>
    <col min="4" max="4" width="7.28515625" style="27" customWidth="1"/>
    <col min="5" max="5" width="9.42578125" style="27" customWidth="1"/>
    <col min="6" max="6" width="15.7109375" style="27" customWidth="1"/>
    <col min="7" max="7" width="19.140625" style="27" customWidth="1"/>
    <col min="8" max="14" width="15.28515625" style="27" customWidth="1"/>
    <col min="15" max="15" width="14.85546875" style="27" customWidth="1"/>
    <col min="16" max="16" width="22" style="27" customWidth="1"/>
    <col min="17" max="17" width="9.140625" style="27"/>
    <col min="18" max="18" width="12.42578125" style="27" bestFit="1" customWidth="1"/>
    <col min="19" max="19" width="11.42578125" style="27" customWidth="1"/>
    <col min="20" max="20" width="15.5703125" style="27" bestFit="1" customWidth="1"/>
    <col min="21" max="21" width="12.85546875" style="27" customWidth="1"/>
    <col min="22" max="22" width="13.85546875" style="27" customWidth="1"/>
    <col min="23" max="23" width="11.85546875" style="27" customWidth="1"/>
    <col min="24" max="16384" width="9.140625" style="27"/>
  </cols>
  <sheetData>
    <row r="1" spans="1:20" ht="23.25" customHeight="1" x14ac:dyDescent="0.25">
      <c r="A1" s="174" t="str" cm="1">
        <f t="array" aca="1" ref="A1" ca="1">MID(CELL("filename",C1),FIND("]",CELL("filename",C1))+1,255)</f>
        <v>Location 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6"/>
      <c r="R1" s="27" t="str" cm="1">
        <f t="array" aca="1" ref="R1" ca="1">MID(CELL("filename",C1),FIND("]",CELL("filename",C1))+1,255)</f>
        <v>Location 6</v>
      </c>
    </row>
    <row r="2" spans="1:20" ht="19.5" customHeight="1" thickBot="1" x14ac:dyDescent="0.3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9"/>
    </row>
    <row r="3" spans="1:20" ht="19.5" thickBot="1" x14ac:dyDescent="0.3">
      <c r="A3" s="150" t="s">
        <v>53</v>
      </c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</row>
    <row r="4" spans="1:20" ht="19.5" thickBot="1" x14ac:dyDescent="0.3">
      <c r="A4" s="180" t="s">
        <v>9</v>
      </c>
      <c r="B4" s="180" t="s">
        <v>0</v>
      </c>
      <c r="C4" s="133" t="s">
        <v>54</v>
      </c>
      <c r="D4" s="182"/>
      <c r="E4" s="182"/>
      <c r="F4" s="182"/>
      <c r="G4" s="182"/>
      <c r="H4" s="134"/>
      <c r="I4" s="183" t="s">
        <v>55</v>
      </c>
      <c r="J4" s="184"/>
      <c r="K4" s="184"/>
      <c r="L4" s="184"/>
      <c r="M4" s="184"/>
      <c r="N4" s="185"/>
      <c r="O4" s="180" t="s">
        <v>19</v>
      </c>
      <c r="P4" s="186" t="s">
        <v>56</v>
      </c>
    </row>
    <row r="5" spans="1:20" ht="57" thickBot="1" x14ac:dyDescent="0.3">
      <c r="A5" s="181"/>
      <c r="B5" s="181"/>
      <c r="C5" s="35" t="s">
        <v>1</v>
      </c>
      <c r="D5" s="35" t="s">
        <v>34</v>
      </c>
      <c r="E5" s="35" t="s">
        <v>57</v>
      </c>
      <c r="F5" s="35" t="s">
        <v>58</v>
      </c>
      <c r="G5" s="36" t="s">
        <v>59</v>
      </c>
      <c r="H5" s="36" t="s">
        <v>3</v>
      </c>
      <c r="I5" s="37" t="s">
        <v>1</v>
      </c>
      <c r="J5" s="37" t="s">
        <v>34</v>
      </c>
      <c r="K5" s="37" t="s">
        <v>60</v>
      </c>
      <c r="L5" s="37" t="s">
        <v>61</v>
      </c>
      <c r="M5" s="38" t="s">
        <v>62</v>
      </c>
      <c r="N5" s="37" t="s">
        <v>4</v>
      </c>
      <c r="O5" s="181"/>
      <c r="P5" s="187"/>
    </row>
    <row r="6" spans="1:20" ht="34.5" customHeight="1" thickBot="1" x14ac:dyDescent="0.3">
      <c r="A6" s="150" t="s">
        <v>7</v>
      </c>
      <c r="B6" s="150"/>
      <c r="C6" s="150"/>
      <c r="D6" s="150"/>
      <c r="E6" s="150"/>
      <c r="F6" s="150"/>
      <c r="G6" s="150"/>
      <c r="H6" s="150"/>
      <c r="I6" s="149"/>
      <c r="J6" s="149"/>
      <c r="K6" s="149"/>
      <c r="L6" s="149"/>
      <c r="M6" s="149"/>
      <c r="N6" s="149"/>
      <c r="O6" s="150"/>
      <c r="P6" s="149"/>
      <c r="T6" s="63">
        <f>(P25+P36+P62)*0.05</f>
        <v>0</v>
      </c>
    </row>
    <row r="7" spans="1:20" ht="16.5" thickTop="1" x14ac:dyDescent="0.25">
      <c r="A7" s="23">
        <v>1</v>
      </c>
      <c r="B7" s="24" t="s">
        <v>8</v>
      </c>
      <c r="C7" s="13">
        <v>0</v>
      </c>
      <c r="D7" s="13">
        <v>0</v>
      </c>
      <c r="E7" s="13"/>
      <c r="F7" s="13">
        <f>C7*D7*E7</f>
        <v>0</v>
      </c>
      <c r="G7" s="39">
        <v>90</v>
      </c>
      <c r="H7" s="40">
        <f t="shared" ref="H7:H13" si="0">F7*G7</f>
        <v>0</v>
      </c>
      <c r="I7" s="41"/>
      <c r="J7" s="42"/>
      <c r="K7" s="42"/>
      <c r="L7" s="42">
        <f>I7*J7*K7</f>
        <v>0</v>
      </c>
      <c r="M7" s="43">
        <v>150</v>
      </c>
      <c r="N7" s="44">
        <f>L7*M7</f>
        <v>0</v>
      </c>
      <c r="O7" s="5">
        <v>0.85</v>
      </c>
      <c r="P7" s="45">
        <f>H7/O7+N7/O7</f>
        <v>0</v>
      </c>
      <c r="R7" s="29"/>
    </row>
    <row r="8" spans="1:20" x14ac:dyDescent="0.25">
      <c r="A8" s="23">
        <v>2</v>
      </c>
      <c r="B8" s="4" t="s">
        <v>7</v>
      </c>
      <c r="C8" s="13">
        <v>0.05</v>
      </c>
      <c r="D8" s="13">
        <v>1</v>
      </c>
      <c r="E8" s="13">
        <v>1</v>
      </c>
      <c r="F8" s="13">
        <f>C8*D8*E8</f>
        <v>0.05</v>
      </c>
      <c r="G8" s="39">
        <f>(P25+P36+P62)</f>
        <v>0</v>
      </c>
      <c r="H8" s="46">
        <f t="shared" si="0"/>
        <v>0</v>
      </c>
      <c r="I8" s="47"/>
      <c r="J8" s="48"/>
      <c r="K8" s="48"/>
      <c r="L8" s="48">
        <f>I8*J8*K8</f>
        <v>0</v>
      </c>
      <c r="M8" s="39">
        <v>150</v>
      </c>
      <c r="N8" s="46">
        <f>L8*M8</f>
        <v>0</v>
      </c>
      <c r="O8" s="5">
        <v>0.85</v>
      </c>
      <c r="P8" s="49">
        <f t="shared" ref="P8:P13" si="1">H8/O8+N8/O8</f>
        <v>0</v>
      </c>
    </row>
    <row r="9" spans="1:20" x14ac:dyDescent="0.25">
      <c r="A9" s="23">
        <v>3</v>
      </c>
      <c r="B9" s="4" t="s">
        <v>26</v>
      </c>
      <c r="C9" s="13"/>
      <c r="D9" s="13"/>
      <c r="E9" s="13"/>
      <c r="F9" s="13">
        <f>C9*D9*E9</f>
        <v>0</v>
      </c>
      <c r="G9" s="39">
        <v>2000</v>
      </c>
      <c r="H9" s="46">
        <f t="shared" si="0"/>
        <v>0</v>
      </c>
      <c r="I9" s="47"/>
      <c r="J9" s="48"/>
      <c r="K9" s="48"/>
      <c r="L9" s="48">
        <f>I9*J9*K9</f>
        <v>0</v>
      </c>
      <c r="M9" s="39">
        <v>0</v>
      </c>
      <c r="N9" s="46">
        <f t="shared" ref="N9:N13" si="2">L9*M9</f>
        <v>0</v>
      </c>
      <c r="O9" s="5">
        <v>0.85</v>
      </c>
      <c r="P9" s="50">
        <f t="shared" si="1"/>
        <v>0</v>
      </c>
    </row>
    <row r="10" spans="1:20" x14ac:dyDescent="0.25">
      <c r="A10" s="23">
        <v>4</v>
      </c>
      <c r="B10" s="4" t="s">
        <v>38</v>
      </c>
      <c r="C10" s="13">
        <v>0.05</v>
      </c>
      <c r="D10" s="13">
        <v>1</v>
      </c>
      <c r="E10" s="13">
        <v>1</v>
      </c>
      <c r="F10" s="13">
        <f t="shared" ref="F10:F11" si="3">C10*D10*E10</f>
        <v>0.05</v>
      </c>
      <c r="G10" s="39">
        <f>P36</f>
        <v>0</v>
      </c>
      <c r="H10" s="46">
        <f t="shared" si="0"/>
        <v>0</v>
      </c>
      <c r="I10" s="47"/>
      <c r="J10" s="48"/>
      <c r="K10" s="48"/>
      <c r="L10" s="48">
        <f t="shared" ref="L10:L13" si="4">I10*J10*K10</f>
        <v>0</v>
      </c>
      <c r="M10" s="39">
        <v>150</v>
      </c>
      <c r="N10" s="46">
        <f t="shared" si="2"/>
        <v>0</v>
      </c>
      <c r="O10" s="5">
        <v>0.85</v>
      </c>
      <c r="P10" s="50">
        <f t="shared" si="1"/>
        <v>0</v>
      </c>
    </row>
    <row r="11" spans="1:20" x14ac:dyDescent="0.25">
      <c r="A11" s="23">
        <v>5</v>
      </c>
      <c r="B11" s="4" t="s">
        <v>39</v>
      </c>
      <c r="C11" s="13">
        <v>0.05</v>
      </c>
      <c r="D11" s="13">
        <v>1</v>
      </c>
      <c r="E11" s="13">
        <v>1</v>
      </c>
      <c r="F11" s="13">
        <f t="shared" si="3"/>
        <v>0.05</v>
      </c>
      <c r="G11" s="39">
        <f>P62</f>
        <v>0</v>
      </c>
      <c r="H11" s="46">
        <f t="shared" si="0"/>
        <v>0</v>
      </c>
      <c r="I11" s="47"/>
      <c r="J11" s="48"/>
      <c r="K11" s="48"/>
      <c r="L11" s="48">
        <f t="shared" si="4"/>
        <v>0</v>
      </c>
      <c r="M11" s="39">
        <v>150</v>
      </c>
      <c r="N11" s="46">
        <f t="shared" si="2"/>
        <v>0</v>
      </c>
      <c r="O11" s="5">
        <v>0.85</v>
      </c>
      <c r="P11" s="50">
        <f t="shared" si="1"/>
        <v>0</v>
      </c>
    </row>
    <row r="12" spans="1:20" x14ac:dyDescent="0.25">
      <c r="A12" s="23">
        <v>6</v>
      </c>
      <c r="B12" s="4" t="s">
        <v>36</v>
      </c>
      <c r="C12" s="13"/>
      <c r="D12" s="13"/>
      <c r="E12" s="13"/>
      <c r="F12" s="13">
        <f>C12*D12*E12</f>
        <v>0</v>
      </c>
      <c r="G12" s="39">
        <v>92</v>
      </c>
      <c r="H12" s="46">
        <f t="shared" si="0"/>
        <v>0</v>
      </c>
      <c r="I12" s="47"/>
      <c r="J12" s="48"/>
      <c r="K12" s="48"/>
      <c r="L12" s="48">
        <f t="shared" si="4"/>
        <v>0</v>
      </c>
      <c r="M12" s="39">
        <v>150</v>
      </c>
      <c r="N12" s="46">
        <f t="shared" si="2"/>
        <v>0</v>
      </c>
      <c r="O12" s="5">
        <v>0.85</v>
      </c>
      <c r="P12" s="50">
        <f t="shared" si="1"/>
        <v>0</v>
      </c>
    </row>
    <row r="13" spans="1:20" x14ac:dyDescent="0.25">
      <c r="A13" s="23">
        <v>7</v>
      </c>
      <c r="B13" s="4" t="s">
        <v>50</v>
      </c>
      <c r="C13" s="13">
        <v>1</v>
      </c>
      <c r="D13" s="13">
        <v>1</v>
      </c>
      <c r="E13" s="13">
        <v>1</v>
      </c>
      <c r="F13" s="13">
        <f>C13*D13*E13</f>
        <v>1</v>
      </c>
      <c r="G13" s="39">
        <v>0</v>
      </c>
      <c r="H13" s="46">
        <f t="shared" si="0"/>
        <v>0</v>
      </c>
      <c r="I13" s="47"/>
      <c r="J13" s="48"/>
      <c r="K13" s="48"/>
      <c r="L13" s="48">
        <f t="shared" si="4"/>
        <v>0</v>
      </c>
      <c r="M13" s="39">
        <v>175</v>
      </c>
      <c r="N13" s="46">
        <f t="shared" si="2"/>
        <v>0</v>
      </c>
      <c r="O13" s="5">
        <v>0.85</v>
      </c>
      <c r="P13" s="50">
        <f t="shared" si="1"/>
        <v>0</v>
      </c>
    </row>
    <row r="14" spans="1:20" s="21" customFormat="1" ht="15.75" customHeight="1" thickBot="1" x14ac:dyDescent="0.3">
      <c r="A14" s="157" t="s">
        <v>11</v>
      </c>
      <c r="B14" s="158"/>
      <c r="C14" s="158"/>
      <c r="D14" s="158"/>
      <c r="E14" s="161"/>
      <c r="F14" s="8">
        <f>SUM(F7:F13)</f>
        <v>1.1499999999999999</v>
      </c>
      <c r="G14" s="8"/>
      <c r="H14" s="51">
        <f>SUM(H7:H13)</f>
        <v>0</v>
      </c>
      <c r="I14" s="152"/>
      <c r="J14" s="153"/>
      <c r="K14" s="154"/>
      <c r="L14" s="52">
        <f>SUM(L7:L13)</f>
        <v>0</v>
      </c>
      <c r="M14" s="53"/>
      <c r="N14" s="54">
        <f>SUM(N7:N13)</f>
        <v>0</v>
      </c>
      <c r="O14" s="55"/>
      <c r="P14" s="56">
        <f>SUM(P7:P13)</f>
        <v>0</v>
      </c>
    </row>
    <row r="15" spans="1:20" ht="16.5" thickTop="1" x14ac:dyDescent="0.25">
      <c r="A15" s="155"/>
      <c r="B15" s="155"/>
      <c r="C15" s="155"/>
      <c r="D15" s="155"/>
      <c r="E15" s="155"/>
      <c r="F15" s="155"/>
      <c r="G15" s="155"/>
      <c r="H15" s="155"/>
      <c r="I15" s="156"/>
      <c r="J15" s="156"/>
      <c r="K15" s="156"/>
      <c r="L15" s="156"/>
      <c r="M15" s="156"/>
      <c r="N15" s="156"/>
      <c r="O15" s="155"/>
      <c r="P15" s="156"/>
    </row>
    <row r="16" spans="1:20" ht="16.5" thickBot="1" x14ac:dyDescent="0.3">
      <c r="A16" s="157" t="s">
        <v>12</v>
      </c>
      <c r="B16" s="158"/>
      <c r="C16" s="158"/>
      <c r="D16" s="158"/>
      <c r="E16" s="158"/>
      <c r="F16" s="158"/>
      <c r="G16" s="158"/>
      <c r="H16" s="158"/>
      <c r="I16" s="159"/>
      <c r="J16" s="159"/>
      <c r="K16" s="159"/>
      <c r="L16" s="159"/>
      <c r="M16" s="159"/>
      <c r="N16" s="159"/>
      <c r="O16" s="158"/>
      <c r="P16" s="160"/>
    </row>
    <row r="17" spans="1:23" ht="16.5" thickTop="1" x14ac:dyDescent="0.25">
      <c r="A17" s="26">
        <v>1</v>
      </c>
      <c r="B17" s="31" t="s">
        <v>63</v>
      </c>
      <c r="C17" s="5"/>
      <c r="D17" s="5"/>
      <c r="E17" s="5"/>
      <c r="F17" s="5">
        <f t="shared" ref="F17:F24" si="5">C17*D17*E17</f>
        <v>0</v>
      </c>
      <c r="G17" s="57">
        <v>108</v>
      </c>
      <c r="H17" s="58">
        <f t="shared" ref="H17:H24" si="6">F17*G17</f>
        <v>0</v>
      </c>
      <c r="I17" s="41"/>
      <c r="J17" s="42"/>
      <c r="K17" s="42"/>
      <c r="L17" s="42">
        <f>I17*J17*K17</f>
        <v>0</v>
      </c>
      <c r="M17" s="43">
        <v>195</v>
      </c>
      <c r="N17" s="44">
        <f>L17*M17</f>
        <v>0</v>
      </c>
      <c r="O17" s="5">
        <v>0.85</v>
      </c>
      <c r="P17" s="45">
        <f>H17/O17+N17/O17</f>
        <v>0</v>
      </c>
    </row>
    <row r="18" spans="1:23" x14ac:dyDescent="0.25">
      <c r="A18" s="26">
        <v>2</v>
      </c>
      <c r="B18" s="31" t="s">
        <v>64</v>
      </c>
      <c r="C18" s="5"/>
      <c r="D18" s="5"/>
      <c r="E18" s="5"/>
      <c r="F18" s="5">
        <f t="shared" si="5"/>
        <v>0</v>
      </c>
      <c r="G18" s="57">
        <v>108</v>
      </c>
      <c r="H18" s="58">
        <f t="shared" si="6"/>
        <v>0</v>
      </c>
      <c r="I18" s="59"/>
      <c r="J18" s="60"/>
      <c r="K18" s="60"/>
      <c r="L18" s="60">
        <f t="shared" ref="L18:L24" si="7">I18*J18*K18</f>
        <v>0</v>
      </c>
      <c r="M18" s="57">
        <v>195</v>
      </c>
      <c r="N18" s="61">
        <f t="shared" ref="N18:N24" si="8">L18*M18</f>
        <v>0</v>
      </c>
      <c r="O18" s="5">
        <v>0.85</v>
      </c>
      <c r="P18" s="49">
        <f t="shared" ref="P18:P24" si="9">H18/O18+N18/O18</f>
        <v>0</v>
      </c>
      <c r="U18" s="62"/>
    </row>
    <row r="19" spans="1:23" x14ac:dyDescent="0.25">
      <c r="A19" s="26">
        <v>3</v>
      </c>
      <c r="B19" s="18" t="s">
        <v>65</v>
      </c>
      <c r="C19" s="5"/>
      <c r="D19" s="5"/>
      <c r="E19" s="5"/>
      <c r="F19" s="5">
        <f t="shared" si="5"/>
        <v>0</v>
      </c>
      <c r="G19" s="57">
        <v>108</v>
      </c>
      <c r="H19" s="58">
        <f t="shared" si="6"/>
        <v>0</v>
      </c>
      <c r="I19" s="59"/>
      <c r="J19" s="60"/>
      <c r="K19" s="60"/>
      <c r="L19" s="60">
        <f t="shared" si="7"/>
        <v>0</v>
      </c>
      <c r="M19" s="57">
        <v>195</v>
      </c>
      <c r="N19" s="61">
        <f t="shared" si="8"/>
        <v>0</v>
      </c>
      <c r="O19" s="5">
        <v>0.85</v>
      </c>
      <c r="P19" s="49">
        <f t="shared" si="9"/>
        <v>0</v>
      </c>
      <c r="R19" s="63"/>
      <c r="U19" s="62"/>
    </row>
    <row r="20" spans="1:23" x14ac:dyDescent="0.25">
      <c r="A20" s="26">
        <v>4</v>
      </c>
      <c r="B20" s="18"/>
      <c r="C20" s="5"/>
      <c r="D20" s="5"/>
      <c r="E20" s="5"/>
      <c r="F20" s="5">
        <f t="shared" si="5"/>
        <v>0</v>
      </c>
      <c r="G20" s="57">
        <v>108</v>
      </c>
      <c r="H20" s="58">
        <f t="shared" si="6"/>
        <v>0</v>
      </c>
      <c r="I20" s="59"/>
      <c r="J20" s="60"/>
      <c r="K20" s="60"/>
      <c r="L20" s="60">
        <f t="shared" si="7"/>
        <v>0</v>
      </c>
      <c r="M20" s="57">
        <v>195</v>
      </c>
      <c r="N20" s="61">
        <f t="shared" si="8"/>
        <v>0</v>
      </c>
      <c r="O20" s="5">
        <v>0.85</v>
      </c>
      <c r="P20" s="49">
        <f t="shared" si="9"/>
        <v>0</v>
      </c>
      <c r="U20" s="62"/>
    </row>
    <row r="21" spans="1:23" x14ac:dyDescent="0.25">
      <c r="A21" s="26">
        <v>5</v>
      </c>
      <c r="B21" s="18"/>
      <c r="C21" s="5"/>
      <c r="D21" s="5"/>
      <c r="E21" s="5"/>
      <c r="F21" s="5">
        <f t="shared" si="5"/>
        <v>0</v>
      </c>
      <c r="G21" s="57">
        <v>108</v>
      </c>
      <c r="H21" s="58">
        <f t="shared" si="6"/>
        <v>0</v>
      </c>
      <c r="I21" s="59"/>
      <c r="J21" s="60"/>
      <c r="K21" s="60"/>
      <c r="L21" s="60">
        <f t="shared" si="7"/>
        <v>0</v>
      </c>
      <c r="M21" s="57">
        <v>195</v>
      </c>
      <c r="N21" s="61">
        <f t="shared" si="8"/>
        <v>0</v>
      </c>
      <c r="O21" s="5">
        <v>0.85</v>
      </c>
      <c r="P21" s="49">
        <f t="shared" si="9"/>
        <v>0</v>
      </c>
    </row>
    <row r="22" spans="1:23" x14ac:dyDescent="0.25">
      <c r="A22" s="26">
        <v>6</v>
      </c>
      <c r="B22" s="18"/>
      <c r="C22" s="5"/>
      <c r="D22" s="5"/>
      <c r="E22" s="5"/>
      <c r="F22" s="5">
        <f t="shared" si="5"/>
        <v>0</v>
      </c>
      <c r="G22" s="57">
        <v>108</v>
      </c>
      <c r="H22" s="58">
        <f t="shared" si="6"/>
        <v>0</v>
      </c>
      <c r="I22" s="59"/>
      <c r="J22" s="60"/>
      <c r="K22" s="60"/>
      <c r="L22" s="60">
        <f t="shared" si="7"/>
        <v>0</v>
      </c>
      <c r="M22" s="57">
        <v>195</v>
      </c>
      <c r="N22" s="61">
        <f t="shared" si="8"/>
        <v>0</v>
      </c>
      <c r="O22" s="5">
        <v>0.85</v>
      </c>
      <c r="P22" s="49">
        <f t="shared" si="9"/>
        <v>0</v>
      </c>
    </row>
    <row r="23" spans="1:23" x14ac:dyDescent="0.25">
      <c r="A23" s="26">
        <v>7</v>
      </c>
      <c r="B23" s="18"/>
      <c r="C23" s="5"/>
      <c r="D23" s="5"/>
      <c r="E23" s="5"/>
      <c r="F23" s="5">
        <f t="shared" si="5"/>
        <v>0</v>
      </c>
      <c r="G23" s="57">
        <v>108</v>
      </c>
      <c r="H23" s="58">
        <f t="shared" si="6"/>
        <v>0</v>
      </c>
      <c r="I23" s="59"/>
      <c r="J23" s="60"/>
      <c r="K23" s="60"/>
      <c r="L23" s="60">
        <f t="shared" si="7"/>
        <v>0</v>
      </c>
      <c r="M23" s="57">
        <v>195</v>
      </c>
      <c r="N23" s="61">
        <f t="shared" si="8"/>
        <v>0</v>
      </c>
      <c r="O23" s="5">
        <v>0.85</v>
      </c>
      <c r="P23" s="49">
        <f t="shared" si="9"/>
        <v>0</v>
      </c>
    </row>
    <row r="24" spans="1:23" x14ac:dyDescent="0.25">
      <c r="A24" s="26">
        <v>8</v>
      </c>
      <c r="B24" s="18"/>
      <c r="C24" s="5"/>
      <c r="D24" s="5"/>
      <c r="E24" s="5"/>
      <c r="F24" s="5">
        <f t="shared" si="5"/>
        <v>0</v>
      </c>
      <c r="G24" s="57">
        <v>108</v>
      </c>
      <c r="H24" s="58">
        <f t="shared" si="6"/>
        <v>0</v>
      </c>
      <c r="I24" s="59"/>
      <c r="J24" s="60"/>
      <c r="K24" s="60"/>
      <c r="L24" s="60">
        <f t="shared" si="7"/>
        <v>0</v>
      </c>
      <c r="M24" s="57">
        <v>195</v>
      </c>
      <c r="N24" s="61">
        <f t="shared" si="8"/>
        <v>0</v>
      </c>
      <c r="O24" s="5">
        <v>0.85</v>
      </c>
      <c r="P24" s="49">
        <f t="shared" si="9"/>
        <v>0</v>
      </c>
    </row>
    <row r="25" spans="1:23" ht="15.75" customHeight="1" x14ac:dyDescent="0.25">
      <c r="A25" s="157" t="s">
        <v>25</v>
      </c>
      <c r="B25" s="158"/>
      <c r="C25" s="158"/>
      <c r="D25" s="158"/>
      <c r="E25" s="161"/>
      <c r="F25" s="8">
        <f>SUM(F17:F24)</f>
        <v>0</v>
      </c>
      <c r="G25" s="162"/>
      <c r="H25" s="64">
        <f>SUM(H17:H24)</f>
        <v>0</v>
      </c>
      <c r="I25" s="164"/>
      <c r="J25" s="165"/>
      <c r="K25" s="166"/>
      <c r="L25" s="65">
        <f>SUM(L17:L24)</f>
        <v>0</v>
      </c>
      <c r="M25" s="170"/>
      <c r="N25" s="66">
        <f>SUM(N17:N24)</f>
        <v>0</v>
      </c>
      <c r="O25" s="172"/>
      <c r="P25" s="67">
        <f>SUM(P17:P24)</f>
        <v>0</v>
      </c>
      <c r="S25" s="22"/>
      <c r="T25" s="22"/>
    </row>
    <row r="26" spans="1:23" s="21" customFormat="1" ht="15.75" customHeight="1" thickBot="1" x14ac:dyDescent="0.3">
      <c r="A26" s="157" t="s">
        <v>13</v>
      </c>
      <c r="B26" s="158"/>
      <c r="C26" s="158"/>
      <c r="D26" s="158"/>
      <c r="E26" s="161"/>
      <c r="F26" s="8">
        <f>F14+F25</f>
        <v>1.1499999999999999</v>
      </c>
      <c r="G26" s="163"/>
      <c r="H26" s="64">
        <f>H14+H25</f>
        <v>0</v>
      </c>
      <c r="I26" s="167"/>
      <c r="J26" s="168"/>
      <c r="K26" s="169"/>
      <c r="L26" s="52">
        <f>L14+L25</f>
        <v>0</v>
      </c>
      <c r="M26" s="171"/>
      <c r="N26" s="68">
        <f>N14+N25</f>
        <v>0</v>
      </c>
      <c r="O26" s="173"/>
      <c r="P26" s="56">
        <f>P14+P25</f>
        <v>0</v>
      </c>
      <c r="S26" s="22"/>
      <c r="T26" s="22"/>
    </row>
    <row r="27" spans="1:23" s="21" customFormat="1" ht="34.5" customHeight="1" thickTop="1" thickBot="1" x14ac:dyDescent="0.3">
      <c r="A27" s="147" t="s">
        <v>23</v>
      </c>
      <c r="B27" s="147"/>
      <c r="C27" s="147"/>
      <c r="D27" s="147"/>
      <c r="E27" s="147"/>
      <c r="F27" s="147"/>
      <c r="G27" s="147"/>
      <c r="H27" s="147"/>
      <c r="I27" s="148"/>
      <c r="J27" s="148"/>
      <c r="K27" s="148"/>
      <c r="L27" s="148"/>
      <c r="M27" s="148"/>
      <c r="N27" s="148"/>
      <c r="O27" s="147"/>
      <c r="P27" s="148"/>
      <c r="S27" s="22"/>
      <c r="T27" s="22"/>
      <c r="U27" s="22"/>
      <c r="V27" s="22"/>
      <c r="W27" s="22"/>
    </row>
    <row r="28" spans="1:23" s="21" customFormat="1" ht="19.5" thickBot="1" x14ac:dyDescent="0.3">
      <c r="A28" s="69" t="s">
        <v>9</v>
      </c>
      <c r="B28" s="69" t="s">
        <v>0</v>
      </c>
      <c r="C28" s="133" t="s">
        <v>28</v>
      </c>
      <c r="D28" s="134"/>
      <c r="E28" s="133" t="s">
        <v>34</v>
      </c>
      <c r="F28" s="134"/>
      <c r="G28" s="135" t="s">
        <v>33</v>
      </c>
      <c r="H28" s="136"/>
      <c r="I28" s="135" t="s">
        <v>29</v>
      </c>
      <c r="J28" s="136"/>
      <c r="K28" s="135" t="s">
        <v>30</v>
      </c>
      <c r="L28" s="136"/>
      <c r="M28" s="135" t="s">
        <v>3</v>
      </c>
      <c r="N28" s="136"/>
      <c r="O28" s="35" t="s">
        <v>19</v>
      </c>
      <c r="P28" s="34" t="s">
        <v>4</v>
      </c>
      <c r="S28" s="22"/>
      <c r="T28" s="22"/>
      <c r="U28" s="22"/>
      <c r="V28" s="22"/>
      <c r="W28" s="22"/>
    </row>
    <row r="29" spans="1:23" s="21" customFormat="1" ht="16.5" thickTop="1" x14ac:dyDescent="0.25">
      <c r="A29" s="13">
        <v>1</v>
      </c>
      <c r="B29" s="14" t="s">
        <v>66</v>
      </c>
      <c r="C29" s="143"/>
      <c r="D29" s="144"/>
      <c r="E29" s="143"/>
      <c r="F29" s="144"/>
      <c r="G29" s="143"/>
      <c r="H29" s="144"/>
      <c r="I29" s="122">
        <f>C29*E29*G29</f>
        <v>0</v>
      </c>
      <c r="J29" s="123"/>
      <c r="K29" s="145"/>
      <c r="L29" s="146"/>
      <c r="M29" s="126">
        <f>K29*I29</f>
        <v>0</v>
      </c>
      <c r="N29" s="127"/>
      <c r="O29" s="5">
        <v>0.85</v>
      </c>
      <c r="P29" s="45">
        <f>M29/O29</f>
        <v>0</v>
      </c>
      <c r="S29" s="22"/>
      <c r="T29" s="22"/>
      <c r="U29" s="22"/>
      <c r="V29" s="22"/>
      <c r="W29" s="22"/>
    </row>
    <row r="30" spans="1:23" s="21" customFormat="1" x14ac:dyDescent="0.25">
      <c r="A30" s="5">
        <v>2</v>
      </c>
      <c r="B30" s="18" t="s">
        <v>67</v>
      </c>
      <c r="C30" s="117"/>
      <c r="D30" s="118"/>
      <c r="E30" s="117"/>
      <c r="F30" s="118"/>
      <c r="G30" s="117"/>
      <c r="H30" s="118"/>
      <c r="I30" s="117">
        <f t="shared" ref="I30:I35" si="10">C30*E30*G30</f>
        <v>0</v>
      </c>
      <c r="J30" s="118"/>
      <c r="K30" s="119"/>
      <c r="L30" s="120"/>
      <c r="M30" s="141">
        <f>K30*I30</f>
        <v>0</v>
      </c>
      <c r="N30" s="142"/>
      <c r="O30" s="5">
        <v>0.85</v>
      </c>
      <c r="P30" s="50">
        <f t="shared" ref="P30:P35" si="11">M30/O30</f>
        <v>0</v>
      </c>
      <c r="S30" s="22"/>
      <c r="T30" s="22"/>
      <c r="U30" s="22"/>
      <c r="V30" s="22"/>
      <c r="W30" s="22"/>
    </row>
    <row r="31" spans="1:23" s="21" customFormat="1" x14ac:dyDescent="0.25">
      <c r="A31" s="5">
        <v>3</v>
      </c>
      <c r="B31" s="18" t="s">
        <v>68</v>
      </c>
      <c r="C31" s="117"/>
      <c r="D31" s="118"/>
      <c r="E31" s="117"/>
      <c r="F31" s="118"/>
      <c r="G31" s="117"/>
      <c r="H31" s="118"/>
      <c r="I31" s="117">
        <f t="shared" si="10"/>
        <v>0</v>
      </c>
      <c r="J31" s="118"/>
      <c r="K31" s="119"/>
      <c r="L31" s="120"/>
      <c r="M31" s="141">
        <f t="shared" ref="M31:M35" si="12">K31*I31</f>
        <v>0</v>
      </c>
      <c r="N31" s="142"/>
      <c r="O31" s="5">
        <v>0.85</v>
      </c>
      <c r="P31" s="50">
        <f t="shared" si="11"/>
        <v>0</v>
      </c>
      <c r="S31" s="22"/>
      <c r="T31" s="22"/>
      <c r="U31" s="22"/>
      <c r="V31" s="22"/>
      <c r="W31" s="22"/>
    </row>
    <row r="32" spans="1:23" s="21" customFormat="1" x14ac:dyDescent="0.25">
      <c r="A32" s="5">
        <v>4</v>
      </c>
      <c r="B32" s="18" t="s">
        <v>69</v>
      </c>
      <c r="C32" s="117"/>
      <c r="D32" s="118"/>
      <c r="E32" s="117"/>
      <c r="F32" s="118"/>
      <c r="G32" s="117"/>
      <c r="H32" s="118"/>
      <c r="I32" s="117">
        <f t="shared" si="10"/>
        <v>0</v>
      </c>
      <c r="J32" s="118"/>
      <c r="K32" s="119"/>
      <c r="L32" s="120"/>
      <c r="M32" s="141">
        <f t="shared" si="12"/>
        <v>0</v>
      </c>
      <c r="N32" s="142"/>
      <c r="O32" s="5">
        <v>0.85</v>
      </c>
      <c r="P32" s="50">
        <f t="shared" si="11"/>
        <v>0</v>
      </c>
      <c r="S32" s="22"/>
      <c r="T32" s="22"/>
      <c r="U32" s="22"/>
      <c r="V32" s="22"/>
      <c r="W32" s="22"/>
    </row>
    <row r="33" spans="1:23" s="21" customFormat="1" x14ac:dyDescent="0.25">
      <c r="A33" s="5">
        <v>5</v>
      </c>
      <c r="B33" s="18" t="s">
        <v>70</v>
      </c>
      <c r="C33" s="117"/>
      <c r="D33" s="118"/>
      <c r="E33" s="117"/>
      <c r="F33" s="118"/>
      <c r="G33" s="117"/>
      <c r="H33" s="118"/>
      <c r="I33" s="117">
        <f t="shared" si="10"/>
        <v>0</v>
      </c>
      <c r="J33" s="118"/>
      <c r="K33" s="119"/>
      <c r="L33" s="120"/>
      <c r="M33" s="141">
        <f t="shared" si="12"/>
        <v>0</v>
      </c>
      <c r="N33" s="142"/>
      <c r="O33" s="5">
        <v>0.85</v>
      </c>
      <c r="P33" s="50">
        <f t="shared" si="11"/>
        <v>0</v>
      </c>
      <c r="S33" s="22"/>
      <c r="T33" s="22"/>
      <c r="U33" s="22"/>
      <c r="V33" s="22"/>
      <c r="W33" s="22"/>
    </row>
    <row r="34" spans="1:23" s="21" customFormat="1" x14ac:dyDescent="0.25">
      <c r="A34" s="5"/>
      <c r="B34" s="18"/>
      <c r="C34" s="117"/>
      <c r="D34" s="118"/>
      <c r="E34" s="117"/>
      <c r="F34" s="118"/>
      <c r="G34" s="117"/>
      <c r="H34" s="118"/>
      <c r="I34" s="117">
        <f t="shared" si="10"/>
        <v>0</v>
      </c>
      <c r="J34" s="118"/>
      <c r="K34" s="119"/>
      <c r="L34" s="120"/>
      <c r="M34" s="141">
        <f t="shared" si="12"/>
        <v>0</v>
      </c>
      <c r="N34" s="142"/>
      <c r="O34" s="5">
        <v>0.85</v>
      </c>
      <c r="P34" s="50">
        <f t="shared" si="11"/>
        <v>0</v>
      </c>
      <c r="S34" s="22"/>
      <c r="T34" s="22"/>
      <c r="U34" s="22"/>
      <c r="V34" s="22"/>
      <c r="W34" s="22"/>
    </row>
    <row r="35" spans="1:23" s="21" customFormat="1" x14ac:dyDescent="0.25">
      <c r="A35" s="5"/>
      <c r="B35" s="18"/>
      <c r="C35" s="117"/>
      <c r="D35" s="118"/>
      <c r="E35" s="117"/>
      <c r="F35" s="118"/>
      <c r="G35" s="117"/>
      <c r="H35" s="118"/>
      <c r="I35" s="137">
        <f t="shared" si="10"/>
        <v>0</v>
      </c>
      <c r="J35" s="138"/>
      <c r="K35" s="119"/>
      <c r="L35" s="120"/>
      <c r="M35" s="139">
        <f t="shared" si="12"/>
        <v>0</v>
      </c>
      <c r="N35" s="140"/>
      <c r="O35" s="5">
        <v>0.85</v>
      </c>
      <c r="P35" s="50">
        <f t="shared" si="11"/>
        <v>0</v>
      </c>
      <c r="S35" s="22"/>
      <c r="T35" s="22"/>
      <c r="U35" s="22"/>
      <c r="V35" s="22"/>
      <c r="W35" s="22"/>
    </row>
    <row r="36" spans="1:23" s="21" customFormat="1" ht="15.75" customHeight="1" thickBot="1" x14ac:dyDescent="0.3">
      <c r="A36" s="128" t="s">
        <v>24</v>
      </c>
      <c r="B36" s="129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56">
        <f>SUM(P29:P35)</f>
        <v>0</v>
      </c>
      <c r="S36" s="22"/>
      <c r="T36" s="22"/>
      <c r="U36" s="22"/>
      <c r="V36" s="22"/>
      <c r="W36" s="22"/>
    </row>
    <row r="37" spans="1:23" ht="34.5" customHeight="1" thickBot="1" x14ac:dyDescent="0.3">
      <c r="A37" s="130" t="s">
        <v>17</v>
      </c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2"/>
      <c r="S37" s="22"/>
      <c r="T37" s="22"/>
      <c r="U37" s="22"/>
      <c r="V37" s="22"/>
      <c r="W37" s="22"/>
    </row>
    <row r="38" spans="1:23" ht="19.5" thickBot="1" x14ac:dyDescent="0.3">
      <c r="A38" s="69" t="s">
        <v>9</v>
      </c>
      <c r="B38" s="69" t="s">
        <v>31</v>
      </c>
      <c r="C38" s="133" t="s">
        <v>28</v>
      </c>
      <c r="D38" s="134"/>
      <c r="E38" s="133" t="s">
        <v>71</v>
      </c>
      <c r="F38" s="134"/>
      <c r="G38" s="135" t="s">
        <v>33</v>
      </c>
      <c r="H38" s="136"/>
      <c r="I38" s="135" t="s">
        <v>29</v>
      </c>
      <c r="J38" s="136"/>
      <c r="K38" s="135" t="s">
        <v>30</v>
      </c>
      <c r="L38" s="136"/>
      <c r="M38" s="135" t="s">
        <v>3</v>
      </c>
      <c r="N38" s="136"/>
      <c r="O38" s="35" t="s">
        <v>19</v>
      </c>
      <c r="P38" s="34" t="s">
        <v>4</v>
      </c>
      <c r="S38" s="22"/>
      <c r="T38" s="22"/>
      <c r="U38" s="22"/>
      <c r="V38" s="22"/>
      <c r="W38" s="22"/>
    </row>
    <row r="39" spans="1:23" ht="16.5" thickTop="1" x14ac:dyDescent="0.25">
      <c r="A39" s="13">
        <v>1</v>
      </c>
      <c r="B39" s="14" t="s">
        <v>72</v>
      </c>
      <c r="C39" s="122"/>
      <c r="D39" s="123"/>
      <c r="E39" s="122"/>
      <c r="F39" s="123"/>
      <c r="G39" s="122"/>
      <c r="H39" s="123"/>
      <c r="I39" s="122">
        <f>G39*E39*C39</f>
        <v>0</v>
      </c>
      <c r="J39" s="123"/>
      <c r="K39" s="124"/>
      <c r="L39" s="125"/>
      <c r="M39" s="126">
        <f>K39*I39</f>
        <v>0</v>
      </c>
      <c r="N39" s="127"/>
      <c r="O39" s="5">
        <v>0.85</v>
      </c>
      <c r="P39" s="70">
        <f>M39/O39</f>
        <v>0</v>
      </c>
      <c r="S39" s="22"/>
      <c r="T39" s="22"/>
      <c r="U39" s="22"/>
      <c r="V39" s="22"/>
      <c r="W39" s="22"/>
    </row>
    <row r="40" spans="1:23" s="22" customFormat="1" x14ac:dyDescent="0.25">
      <c r="A40" s="13">
        <v>2</v>
      </c>
      <c r="B40" s="18" t="s">
        <v>73</v>
      </c>
      <c r="C40" s="117"/>
      <c r="D40" s="118"/>
      <c r="E40" s="117"/>
      <c r="F40" s="118"/>
      <c r="G40" s="117"/>
      <c r="H40" s="118"/>
      <c r="I40" s="117">
        <f t="shared" ref="I40:I61" si="13">G40*E40*C40</f>
        <v>0</v>
      </c>
      <c r="J40" s="118"/>
      <c r="K40" s="119"/>
      <c r="L40" s="120"/>
      <c r="M40" s="141">
        <f t="shared" ref="M40:M57" si="14">K40*I40</f>
        <v>0</v>
      </c>
      <c r="N40" s="142"/>
      <c r="O40" s="5">
        <v>0.85</v>
      </c>
      <c r="P40" s="71">
        <f t="shared" ref="P40:P61" si="15">M40/O40</f>
        <v>0</v>
      </c>
    </row>
    <row r="41" spans="1:23" s="22" customFormat="1" x14ac:dyDescent="0.25">
      <c r="A41" s="13">
        <v>3</v>
      </c>
      <c r="B41" s="18"/>
      <c r="C41" s="117"/>
      <c r="D41" s="118"/>
      <c r="E41" s="117"/>
      <c r="F41" s="118"/>
      <c r="G41" s="117"/>
      <c r="H41" s="118"/>
      <c r="I41" s="117">
        <f t="shared" si="13"/>
        <v>0</v>
      </c>
      <c r="J41" s="118"/>
      <c r="K41" s="119"/>
      <c r="L41" s="120"/>
      <c r="M41" s="141">
        <f t="shared" si="14"/>
        <v>0</v>
      </c>
      <c r="N41" s="142"/>
      <c r="O41" s="5">
        <v>0.85</v>
      </c>
      <c r="P41" s="71">
        <f t="shared" si="15"/>
        <v>0</v>
      </c>
    </row>
    <row r="42" spans="1:23" s="22" customFormat="1" x14ac:dyDescent="0.25">
      <c r="A42" s="13">
        <v>4</v>
      </c>
      <c r="B42" s="18"/>
      <c r="C42" s="117"/>
      <c r="D42" s="118"/>
      <c r="E42" s="117"/>
      <c r="F42" s="118"/>
      <c r="G42" s="117"/>
      <c r="H42" s="118"/>
      <c r="I42" s="117">
        <f t="shared" si="13"/>
        <v>0</v>
      </c>
      <c r="J42" s="118"/>
      <c r="K42" s="119"/>
      <c r="L42" s="120"/>
      <c r="M42" s="141">
        <f t="shared" si="14"/>
        <v>0</v>
      </c>
      <c r="N42" s="142"/>
      <c r="O42" s="5">
        <v>0.85</v>
      </c>
      <c r="P42" s="71">
        <f t="shared" si="15"/>
        <v>0</v>
      </c>
    </row>
    <row r="43" spans="1:23" s="22" customFormat="1" x14ac:dyDescent="0.25">
      <c r="A43" s="13">
        <v>5</v>
      </c>
      <c r="B43" s="18"/>
      <c r="C43" s="117"/>
      <c r="D43" s="118"/>
      <c r="E43" s="117"/>
      <c r="F43" s="118"/>
      <c r="G43" s="117"/>
      <c r="H43" s="118"/>
      <c r="I43" s="117">
        <f t="shared" si="13"/>
        <v>0</v>
      </c>
      <c r="J43" s="118"/>
      <c r="K43" s="119"/>
      <c r="L43" s="120"/>
      <c r="M43" s="141">
        <f t="shared" si="14"/>
        <v>0</v>
      </c>
      <c r="N43" s="142"/>
      <c r="O43" s="5">
        <v>0.85</v>
      </c>
      <c r="P43" s="71">
        <f t="shared" si="15"/>
        <v>0</v>
      </c>
    </row>
    <row r="44" spans="1:23" s="22" customFormat="1" x14ac:dyDescent="0.25">
      <c r="A44" s="13">
        <v>6</v>
      </c>
      <c r="B44" s="18"/>
      <c r="C44" s="117"/>
      <c r="D44" s="118"/>
      <c r="E44" s="117"/>
      <c r="F44" s="118"/>
      <c r="G44" s="117"/>
      <c r="H44" s="118"/>
      <c r="I44" s="117">
        <f t="shared" si="13"/>
        <v>0</v>
      </c>
      <c r="J44" s="118"/>
      <c r="K44" s="119"/>
      <c r="L44" s="120"/>
      <c r="M44" s="141">
        <f t="shared" si="14"/>
        <v>0</v>
      </c>
      <c r="N44" s="142"/>
      <c r="O44" s="5">
        <v>0.85</v>
      </c>
      <c r="P44" s="71">
        <f t="shared" si="15"/>
        <v>0</v>
      </c>
    </row>
    <row r="45" spans="1:23" s="22" customFormat="1" x14ac:dyDescent="0.25">
      <c r="A45" s="13">
        <v>7</v>
      </c>
      <c r="B45" s="18"/>
      <c r="C45" s="117"/>
      <c r="D45" s="118"/>
      <c r="E45" s="117"/>
      <c r="F45" s="118"/>
      <c r="G45" s="117"/>
      <c r="H45" s="118"/>
      <c r="I45" s="117">
        <f t="shared" si="13"/>
        <v>0</v>
      </c>
      <c r="J45" s="118"/>
      <c r="K45" s="119"/>
      <c r="L45" s="120"/>
      <c r="M45" s="141">
        <f t="shared" si="14"/>
        <v>0</v>
      </c>
      <c r="N45" s="142"/>
      <c r="O45" s="5">
        <v>0.85</v>
      </c>
      <c r="P45" s="71">
        <f t="shared" si="15"/>
        <v>0</v>
      </c>
    </row>
    <row r="46" spans="1:23" s="22" customFormat="1" x14ac:dyDescent="0.25">
      <c r="A46" s="13">
        <v>8</v>
      </c>
      <c r="B46" s="18"/>
      <c r="C46" s="117"/>
      <c r="D46" s="118"/>
      <c r="E46" s="117"/>
      <c r="F46" s="118"/>
      <c r="G46" s="117"/>
      <c r="H46" s="118"/>
      <c r="I46" s="117">
        <f t="shared" si="13"/>
        <v>0</v>
      </c>
      <c r="J46" s="118"/>
      <c r="K46" s="119"/>
      <c r="L46" s="120"/>
      <c r="M46" s="141">
        <f t="shared" si="14"/>
        <v>0</v>
      </c>
      <c r="N46" s="142"/>
      <c r="O46" s="5">
        <v>0.85</v>
      </c>
      <c r="P46" s="71">
        <f t="shared" si="15"/>
        <v>0</v>
      </c>
    </row>
    <row r="47" spans="1:23" s="22" customFormat="1" x14ac:dyDescent="0.25">
      <c r="A47" s="13">
        <v>9</v>
      </c>
      <c r="B47" s="18"/>
      <c r="C47" s="117"/>
      <c r="D47" s="118"/>
      <c r="E47" s="117"/>
      <c r="F47" s="118"/>
      <c r="G47" s="117"/>
      <c r="H47" s="118"/>
      <c r="I47" s="117">
        <f t="shared" si="13"/>
        <v>0</v>
      </c>
      <c r="J47" s="118"/>
      <c r="K47" s="119"/>
      <c r="L47" s="120"/>
      <c r="M47" s="141">
        <f t="shared" si="14"/>
        <v>0</v>
      </c>
      <c r="N47" s="142"/>
      <c r="O47" s="5">
        <v>0.85</v>
      </c>
      <c r="P47" s="71">
        <f t="shared" si="15"/>
        <v>0</v>
      </c>
    </row>
    <row r="48" spans="1:23" s="22" customFormat="1" x14ac:dyDescent="0.25">
      <c r="A48" s="13">
        <v>10</v>
      </c>
      <c r="B48" s="18"/>
      <c r="C48" s="117"/>
      <c r="D48" s="118"/>
      <c r="E48" s="117"/>
      <c r="F48" s="118"/>
      <c r="G48" s="117"/>
      <c r="H48" s="118"/>
      <c r="I48" s="117">
        <f t="shared" si="13"/>
        <v>0</v>
      </c>
      <c r="J48" s="118"/>
      <c r="K48" s="119"/>
      <c r="L48" s="120"/>
      <c r="M48" s="141">
        <f t="shared" si="14"/>
        <v>0</v>
      </c>
      <c r="N48" s="142"/>
      <c r="O48" s="5">
        <v>0.85</v>
      </c>
      <c r="P48" s="71">
        <f t="shared" si="15"/>
        <v>0</v>
      </c>
    </row>
    <row r="49" spans="1:23" s="22" customFormat="1" x14ac:dyDescent="0.25">
      <c r="A49" s="13">
        <v>11</v>
      </c>
      <c r="B49" s="18"/>
      <c r="C49" s="117"/>
      <c r="D49" s="118"/>
      <c r="E49" s="117"/>
      <c r="F49" s="118"/>
      <c r="G49" s="117"/>
      <c r="H49" s="118"/>
      <c r="I49" s="117">
        <f t="shared" si="13"/>
        <v>0</v>
      </c>
      <c r="J49" s="118"/>
      <c r="K49" s="119"/>
      <c r="L49" s="120"/>
      <c r="M49" s="141">
        <f t="shared" si="14"/>
        <v>0</v>
      </c>
      <c r="N49" s="142"/>
      <c r="O49" s="5">
        <v>0.85</v>
      </c>
      <c r="P49" s="71">
        <f t="shared" si="15"/>
        <v>0</v>
      </c>
    </row>
    <row r="50" spans="1:23" s="22" customFormat="1" x14ac:dyDescent="0.25">
      <c r="A50" s="13">
        <v>12</v>
      </c>
      <c r="B50" s="18"/>
      <c r="C50" s="117"/>
      <c r="D50" s="118"/>
      <c r="E50" s="117"/>
      <c r="F50" s="118"/>
      <c r="G50" s="117"/>
      <c r="H50" s="118"/>
      <c r="I50" s="117">
        <f t="shared" si="13"/>
        <v>0</v>
      </c>
      <c r="J50" s="118"/>
      <c r="K50" s="119"/>
      <c r="L50" s="120"/>
      <c r="M50" s="141">
        <f t="shared" si="14"/>
        <v>0</v>
      </c>
      <c r="N50" s="142"/>
      <c r="O50" s="5">
        <v>0.85</v>
      </c>
      <c r="P50" s="71">
        <f t="shared" si="15"/>
        <v>0</v>
      </c>
    </row>
    <row r="51" spans="1:23" s="22" customFormat="1" x14ac:dyDescent="0.25">
      <c r="A51" s="13">
        <v>13</v>
      </c>
      <c r="B51" s="18" t="s">
        <v>74</v>
      </c>
      <c r="C51" s="117"/>
      <c r="D51" s="118"/>
      <c r="E51" s="117"/>
      <c r="F51" s="118"/>
      <c r="G51" s="117"/>
      <c r="H51" s="118"/>
      <c r="I51" s="117">
        <f t="shared" si="13"/>
        <v>0</v>
      </c>
      <c r="J51" s="118"/>
      <c r="K51" s="119"/>
      <c r="L51" s="120"/>
      <c r="M51" s="141">
        <f t="shared" si="14"/>
        <v>0</v>
      </c>
      <c r="N51" s="142"/>
      <c r="O51" s="5">
        <v>0.85</v>
      </c>
      <c r="P51" s="71">
        <f t="shared" si="15"/>
        <v>0</v>
      </c>
    </row>
    <row r="52" spans="1:23" s="22" customFormat="1" x14ac:dyDescent="0.25">
      <c r="A52" s="13">
        <v>14</v>
      </c>
      <c r="B52" s="18" t="s">
        <v>75</v>
      </c>
      <c r="C52" s="117"/>
      <c r="D52" s="118"/>
      <c r="E52" s="117"/>
      <c r="F52" s="118"/>
      <c r="G52" s="117"/>
      <c r="H52" s="118"/>
      <c r="I52" s="117">
        <f t="shared" si="13"/>
        <v>0</v>
      </c>
      <c r="J52" s="118"/>
      <c r="K52" s="119"/>
      <c r="L52" s="120"/>
      <c r="M52" s="141">
        <f t="shared" si="14"/>
        <v>0</v>
      </c>
      <c r="N52" s="142"/>
      <c r="O52" s="5">
        <v>0.85</v>
      </c>
      <c r="P52" s="71">
        <f t="shared" si="15"/>
        <v>0</v>
      </c>
    </row>
    <row r="53" spans="1:23" s="22" customFormat="1" x14ac:dyDescent="0.25">
      <c r="A53" s="13">
        <v>15</v>
      </c>
      <c r="B53" s="72" t="s">
        <v>76</v>
      </c>
      <c r="C53" s="117"/>
      <c r="D53" s="118"/>
      <c r="E53" s="117"/>
      <c r="F53" s="118"/>
      <c r="G53" s="117"/>
      <c r="H53" s="118"/>
      <c r="I53" s="117">
        <f t="shared" si="13"/>
        <v>0</v>
      </c>
      <c r="J53" s="118"/>
      <c r="K53" s="119"/>
      <c r="L53" s="120"/>
      <c r="M53" s="141">
        <f t="shared" si="14"/>
        <v>0</v>
      </c>
      <c r="N53" s="142"/>
      <c r="O53" s="5">
        <v>0.85</v>
      </c>
      <c r="P53" s="71">
        <f>M53/O53</f>
        <v>0</v>
      </c>
    </row>
    <row r="54" spans="1:23" s="22" customFormat="1" x14ac:dyDescent="0.25">
      <c r="A54" s="13">
        <v>16</v>
      </c>
      <c r="B54" s="72" t="s">
        <v>77</v>
      </c>
      <c r="C54" s="117"/>
      <c r="D54" s="118"/>
      <c r="E54" s="117"/>
      <c r="F54" s="118"/>
      <c r="G54" s="117"/>
      <c r="H54" s="118"/>
      <c r="I54" s="117">
        <f t="shared" si="13"/>
        <v>0</v>
      </c>
      <c r="J54" s="118"/>
      <c r="K54" s="119"/>
      <c r="L54" s="120"/>
      <c r="M54" s="141">
        <f t="shared" si="14"/>
        <v>0</v>
      </c>
      <c r="N54" s="142"/>
      <c r="O54" s="5">
        <v>0.85</v>
      </c>
      <c r="P54" s="71">
        <f t="shared" si="15"/>
        <v>0</v>
      </c>
    </row>
    <row r="55" spans="1:23" s="22" customFormat="1" x14ac:dyDescent="0.25">
      <c r="A55" s="13">
        <v>17</v>
      </c>
      <c r="B55" s="72" t="s">
        <v>78</v>
      </c>
      <c r="C55" s="117"/>
      <c r="D55" s="118"/>
      <c r="E55" s="117"/>
      <c r="F55" s="118"/>
      <c r="G55" s="117"/>
      <c r="H55" s="118"/>
      <c r="I55" s="117">
        <f t="shared" si="13"/>
        <v>0</v>
      </c>
      <c r="J55" s="118"/>
      <c r="K55" s="119"/>
      <c r="L55" s="120"/>
      <c r="M55" s="141">
        <f t="shared" si="14"/>
        <v>0</v>
      </c>
      <c r="N55" s="142"/>
      <c r="O55" s="5">
        <v>0.85</v>
      </c>
      <c r="P55" s="71">
        <f t="shared" si="15"/>
        <v>0</v>
      </c>
    </row>
    <row r="56" spans="1:23" s="22" customFormat="1" x14ac:dyDescent="0.25">
      <c r="A56" s="13">
        <v>18</v>
      </c>
      <c r="B56" s="72" t="s">
        <v>79</v>
      </c>
      <c r="C56" s="117"/>
      <c r="D56" s="118"/>
      <c r="E56" s="117"/>
      <c r="F56" s="118"/>
      <c r="G56" s="117"/>
      <c r="H56" s="118"/>
      <c r="I56" s="117">
        <f t="shared" si="13"/>
        <v>0</v>
      </c>
      <c r="J56" s="118"/>
      <c r="K56" s="119"/>
      <c r="L56" s="120"/>
      <c r="M56" s="141">
        <f t="shared" si="14"/>
        <v>0</v>
      </c>
      <c r="N56" s="142"/>
      <c r="O56" s="5">
        <v>0.85</v>
      </c>
      <c r="P56" s="71">
        <f t="shared" si="15"/>
        <v>0</v>
      </c>
    </row>
    <row r="57" spans="1:23" s="22" customFormat="1" x14ac:dyDescent="0.25">
      <c r="A57" s="13">
        <v>19</v>
      </c>
      <c r="B57" s="72" t="s">
        <v>80</v>
      </c>
      <c r="C57" s="117"/>
      <c r="D57" s="118"/>
      <c r="E57" s="117"/>
      <c r="F57" s="118"/>
      <c r="G57" s="117"/>
      <c r="H57" s="118"/>
      <c r="I57" s="117">
        <f t="shared" si="13"/>
        <v>0</v>
      </c>
      <c r="J57" s="118"/>
      <c r="K57" s="119"/>
      <c r="L57" s="120"/>
      <c r="M57" s="141">
        <f t="shared" si="14"/>
        <v>0</v>
      </c>
      <c r="N57" s="142"/>
      <c r="O57" s="5">
        <v>0.85</v>
      </c>
      <c r="P57" s="71">
        <f t="shared" si="15"/>
        <v>0</v>
      </c>
    </row>
    <row r="58" spans="1:23" s="22" customFormat="1" ht="31.5" x14ac:dyDescent="0.25">
      <c r="A58" s="13">
        <v>20</v>
      </c>
      <c r="B58" s="72" t="s">
        <v>81</v>
      </c>
      <c r="C58" s="117"/>
      <c r="D58" s="118"/>
      <c r="E58" s="117"/>
      <c r="F58" s="118"/>
      <c r="G58" s="117"/>
      <c r="H58" s="118"/>
      <c r="I58" s="117">
        <f t="shared" si="13"/>
        <v>0</v>
      </c>
      <c r="J58" s="118"/>
      <c r="K58" s="119"/>
      <c r="L58" s="120"/>
      <c r="M58" s="141">
        <f>K58*I58</f>
        <v>0</v>
      </c>
      <c r="N58" s="142"/>
      <c r="O58" s="5">
        <v>0.85</v>
      </c>
      <c r="P58" s="71">
        <f t="shared" si="15"/>
        <v>0</v>
      </c>
    </row>
    <row r="59" spans="1:23" s="22" customFormat="1" x14ac:dyDescent="0.25">
      <c r="A59" s="13">
        <v>27</v>
      </c>
      <c r="B59" s="72" t="s">
        <v>37</v>
      </c>
      <c r="C59" s="117"/>
      <c r="D59" s="118"/>
      <c r="E59" s="117"/>
      <c r="F59" s="118"/>
      <c r="G59" s="117"/>
      <c r="H59" s="118"/>
      <c r="I59" s="117">
        <f t="shared" si="13"/>
        <v>0</v>
      </c>
      <c r="J59" s="118"/>
      <c r="K59" s="119"/>
      <c r="L59" s="120"/>
      <c r="M59" s="121">
        <f>K59*I59</f>
        <v>0</v>
      </c>
      <c r="N59" s="121"/>
      <c r="O59" s="5">
        <v>0.85</v>
      </c>
      <c r="P59" s="71">
        <f>M59/O59</f>
        <v>0</v>
      </c>
    </row>
    <row r="60" spans="1:23" x14ac:dyDescent="0.25">
      <c r="A60" s="13">
        <v>28</v>
      </c>
      <c r="B60" s="18"/>
      <c r="C60" s="117"/>
      <c r="D60" s="118"/>
      <c r="E60" s="117"/>
      <c r="F60" s="118"/>
      <c r="G60" s="117"/>
      <c r="H60" s="118"/>
      <c r="I60" s="117">
        <f t="shared" si="13"/>
        <v>0</v>
      </c>
      <c r="J60" s="118"/>
      <c r="K60" s="119"/>
      <c r="L60" s="120"/>
      <c r="M60" s="121">
        <f t="shared" ref="M60:M61" si="16">K60*I60</f>
        <v>0</v>
      </c>
      <c r="N60" s="121"/>
      <c r="O60" s="5">
        <v>0.85</v>
      </c>
      <c r="P60" s="71">
        <f>M60/O60</f>
        <v>0</v>
      </c>
      <c r="S60" s="22"/>
      <c r="T60" s="22"/>
      <c r="U60" s="22"/>
      <c r="V60" s="22"/>
      <c r="W60" s="22"/>
    </row>
    <row r="61" spans="1:23" x14ac:dyDescent="0.25">
      <c r="A61" s="13">
        <v>29</v>
      </c>
      <c r="B61" s="4"/>
      <c r="C61" s="117"/>
      <c r="D61" s="118"/>
      <c r="E61" s="117"/>
      <c r="F61" s="118"/>
      <c r="G61" s="117"/>
      <c r="H61" s="118"/>
      <c r="I61" s="117">
        <f t="shared" si="13"/>
        <v>0</v>
      </c>
      <c r="J61" s="118"/>
      <c r="K61" s="119"/>
      <c r="L61" s="120"/>
      <c r="M61" s="121">
        <f t="shared" si="16"/>
        <v>0</v>
      </c>
      <c r="N61" s="121"/>
      <c r="O61" s="5">
        <v>0.85</v>
      </c>
      <c r="P61" s="71">
        <f t="shared" si="15"/>
        <v>0</v>
      </c>
      <c r="S61" s="22"/>
      <c r="T61" s="73"/>
      <c r="U61" s="22"/>
      <c r="V61" s="22"/>
      <c r="W61" s="22"/>
    </row>
    <row r="62" spans="1:23" s="21" customFormat="1" ht="16.5" thickBot="1" x14ac:dyDescent="0.3">
      <c r="A62" s="109" t="s">
        <v>16</v>
      </c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74">
        <f>SUM(P39:P61)</f>
        <v>0</v>
      </c>
      <c r="S62" s="22"/>
      <c r="T62" s="22"/>
      <c r="U62" s="22"/>
      <c r="V62" s="22"/>
      <c r="W62" s="22"/>
    </row>
    <row r="63" spans="1:23" ht="16.5" thickTop="1" x14ac:dyDescent="0.25">
      <c r="A63" s="111"/>
      <c r="B63" s="112"/>
      <c r="C63" s="112"/>
      <c r="D63" s="112"/>
      <c r="E63" s="112"/>
      <c r="F63" s="112"/>
      <c r="G63" s="112"/>
      <c r="H63" s="112"/>
      <c r="I63" s="112"/>
      <c r="J63" s="112"/>
      <c r="K63" s="112"/>
      <c r="L63" s="112"/>
      <c r="M63" s="112"/>
      <c r="N63" s="112"/>
      <c r="O63" s="112"/>
      <c r="P63" s="113"/>
      <c r="S63" s="22"/>
      <c r="T63" s="22"/>
      <c r="U63" s="22"/>
      <c r="V63" s="22"/>
      <c r="W63" s="22"/>
    </row>
    <row r="64" spans="1:23" x14ac:dyDescent="0.25">
      <c r="A64" s="114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6"/>
      <c r="S64" s="22"/>
      <c r="T64" s="22"/>
      <c r="U64" s="22"/>
      <c r="V64" s="22"/>
      <c r="W64" s="22"/>
    </row>
    <row r="65" spans="1:23" x14ac:dyDescent="0.25">
      <c r="A65" s="98" t="s">
        <v>14</v>
      </c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100"/>
      <c r="P65" s="75">
        <f>P26+P36+P62</f>
        <v>0</v>
      </c>
      <c r="S65" s="22"/>
      <c r="T65" s="22"/>
      <c r="U65" s="22"/>
      <c r="V65" s="22"/>
      <c r="W65" s="22"/>
    </row>
    <row r="66" spans="1:23" x14ac:dyDescent="0.25">
      <c r="A66" s="98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100"/>
      <c r="S66" s="22"/>
      <c r="T66" s="22"/>
      <c r="U66" s="22"/>
      <c r="V66" s="22"/>
      <c r="W66" s="22"/>
    </row>
    <row r="67" spans="1:23" x14ac:dyDescent="0.25">
      <c r="A67" s="98" t="s">
        <v>15</v>
      </c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100"/>
      <c r="P67" s="75">
        <v>0</v>
      </c>
      <c r="S67" s="22"/>
      <c r="T67" s="22"/>
      <c r="U67" s="22"/>
      <c r="V67" s="22"/>
      <c r="W67" s="22"/>
    </row>
    <row r="68" spans="1:23" x14ac:dyDescent="0.25">
      <c r="A68" s="98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100"/>
      <c r="S68" s="22"/>
      <c r="T68" s="22"/>
      <c r="U68" s="22"/>
      <c r="V68" s="22"/>
      <c r="W68" s="22"/>
    </row>
    <row r="69" spans="1:23" x14ac:dyDescent="0.25">
      <c r="A69" s="103" t="s">
        <v>20</v>
      </c>
      <c r="B69" s="103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75">
        <v>0</v>
      </c>
      <c r="S69" s="22"/>
      <c r="T69" s="22"/>
      <c r="U69" s="22"/>
      <c r="V69" s="22"/>
      <c r="W69" s="22"/>
    </row>
    <row r="70" spans="1:23" x14ac:dyDescent="0.25">
      <c r="A70" s="98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100"/>
      <c r="S70" s="22"/>
      <c r="T70" s="22"/>
      <c r="U70" s="22"/>
      <c r="V70" s="22"/>
      <c r="W70" s="22"/>
    </row>
    <row r="71" spans="1:23" x14ac:dyDescent="0.25">
      <c r="A71" s="104" t="s">
        <v>49</v>
      </c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76">
        <v>0</v>
      </c>
      <c r="S71" s="22"/>
      <c r="T71" s="22"/>
      <c r="U71" s="22"/>
      <c r="V71" s="22"/>
      <c r="W71" s="22"/>
    </row>
    <row r="72" spans="1:23" x14ac:dyDescent="0.25">
      <c r="A72" s="105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7"/>
      <c r="S72" s="22"/>
      <c r="T72" s="22"/>
      <c r="U72" s="22"/>
      <c r="V72" s="22"/>
      <c r="W72" s="22"/>
    </row>
    <row r="73" spans="1:23" x14ac:dyDescent="0.25">
      <c r="A73" s="98" t="s">
        <v>10</v>
      </c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100"/>
      <c r="P73" s="75">
        <f>SUM(P65,P67,P69, P71)</f>
        <v>0</v>
      </c>
      <c r="S73" s="22"/>
      <c r="T73" s="73"/>
      <c r="U73" s="22"/>
      <c r="V73" s="22"/>
      <c r="W73" s="22"/>
    </row>
    <row r="74" spans="1:23" x14ac:dyDescent="0.25">
      <c r="A74" s="98" t="s">
        <v>21</v>
      </c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100"/>
      <c r="P74" s="75">
        <f>P73*0.13</f>
        <v>0</v>
      </c>
    </row>
    <row r="75" spans="1:23" x14ac:dyDescent="0.25">
      <c r="A75" s="98" t="s">
        <v>22</v>
      </c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100"/>
      <c r="P75" s="75">
        <f>P73+P74</f>
        <v>0</v>
      </c>
    </row>
    <row r="76" spans="1:23" x14ac:dyDescent="0.25">
      <c r="A76" s="27" t="s">
        <v>35</v>
      </c>
      <c r="P76" s="29">
        <f>P73*1.13</f>
        <v>0</v>
      </c>
    </row>
    <row r="84" spans="2:11" ht="16.5" thickBot="1" x14ac:dyDescent="0.3"/>
    <row r="85" spans="2:11" ht="32.25" thickBot="1" x14ac:dyDescent="0.3">
      <c r="B85" s="27" t="s">
        <v>91</v>
      </c>
      <c r="C85" s="81" t="s">
        <v>92</v>
      </c>
      <c r="D85" s="93" t="s">
        <v>93</v>
      </c>
      <c r="E85" s="93"/>
      <c r="F85" s="82" t="s">
        <v>94</v>
      </c>
      <c r="G85" s="82" t="s">
        <v>95</v>
      </c>
      <c r="H85" s="83" t="s">
        <v>96</v>
      </c>
      <c r="I85" s="83" t="s">
        <v>97</v>
      </c>
    </row>
    <row r="86" spans="2:11" x14ac:dyDescent="0.25">
      <c r="B86" s="77" t="s">
        <v>98</v>
      </c>
      <c r="C86" s="84">
        <v>98.21</v>
      </c>
      <c r="D86" s="108">
        <f>(C86+17)</f>
        <v>115.21</v>
      </c>
      <c r="E86" s="108"/>
      <c r="F86" s="85">
        <v>196.41</v>
      </c>
      <c r="G86" s="85">
        <f>(F86+17)</f>
        <v>213.41</v>
      </c>
      <c r="H86" s="86">
        <v>112.94</v>
      </c>
      <c r="I86" s="87">
        <f>H86+17</f>
        <v>129.94</v>
      </c>
      <c r="J86" s="63"/>
      <c r="K86" s="63"/>
    </row>
    <row r="87" spans="2:11" x14ac:dyDescent="0.25">
      <c r="B87" s="77" t="s">
        <v>99</v>
      </c>
      <c r="C87" s="88">
        <v>87.65</v>
      </c>
      <c r="D87" s="97">
        <f>(C87+17)</f>
        <v>104.65</v>
      </c>
      <c r="E87" s="97"/>
      <c r="F87" s="89">
        <v>175.31</v>
      </c>
      <c r="G87" s="89">
        <f>(F87+17)</f>
        <v>192.31</v>
      </c>
      <c r="H87" s="90">
        <v>100.8</v>
      </c>
      <c r="I87" s="91">
        <f>H87+17</f>
        <v>117.8</v>
      </c>
      <c r="J87" s="63"/>
      <c r="K87" s="63"/>
    </row>
    <row r="88" spans="2:11" x14ac:dyDescent="0.25">
      <c r="B88" s="77" t="s">
        <v>100</v>
      </c>
      <c r="C88" s="88">
        <v>71.38</v>
      </c>
      <c r="D88" s="97">
        <f t="shared" ref="D88:D92" si="17">(C88+17)</f>
        <v>88.38</v>
      </c>
      <c r="E88" s="97"/>
      <c r="F88" s="89">
        <v>142.72999999999999</v>
      </c>
      <c r="G88" s="89">
        <f t="shared" ref="G88:G92" si="18">(F88+17)</f>
        <v>159.72999999999999</v>
      </c>
      <c r="H88" s="90">
        <v>82.09</v>
      </c>
      <c r="I88" s="91">
        <f t="shared" ref="I88:I92" si="19">H88+17</f>
        <v>99.09</v>
      </c>
      <c r="J88" s="63"/>
      <c r="K88" s="63"/>
    </row>
    <row r="89" spans="2:11" x14ac:dyDescent="0.25">
      <c r="B89" s="77" t="s">
        <v>101</v>
      </c>
      <c r="C89" s="88">
        <v>63.34</v>
      </c>
      <c r="D89" s="97">
        <f t="shared" si="17"/>
        <v>80.34</v>
      </c>
      <c r="E89" s="97"/>
      <c r="F89" s="89">
        <v>126.7</v>
      </c>
      <c r="G89" s="89">
        <f t="shared" si="18"/>
        <v>143.69999999999999</v>
      </c>
      <c r="H89" s="90">
        <v>72.84</v>
      </c>
      <c r="I89" s="91">
        <f t="shared" si="19"/>
        <v>89.84</v>
      </c>
      <c r="J89" s="63"/>
      <c r="K89" s="63"/>
    </row>
    <row r="90" spans="2:11" x14ac:dyDescent="0.25">
      <c r="B90" s="77" t="s">
        <v>102</v>
      </c>
      <c r="C90" s="88">
        <v>55.33</v>
      </c>
      <c r="D90" s="97">
        <f t="shared" si="17"/>
        <v>72.33</v>
      </c>
      <c r="E90" s="97"/>
      <c r="F90" s="89">
        <v>110.64</v>
      </c>
      <c r="G90" s="89">
        <f t="shared" si="18"/>
        <v>127.64</v>
      </c>
      <c r="H90" s="90">
        <v>63.63</v>
      </c>
      <c r="I90" s="91">
        <f t="shared" si="19"/>
        <v>80.63</v>
      </c>
      <c r="J90" s="63"/>
      <c r="K90" s="63"/>
    </row>
    <row r="91" spans="2:11" x14ac:dyDescent="0.25">
      <c r="B91" s="77" t="s">
        <v>103</v>
      </c>
      <c r="C91" s="88">
        <v>47.3</v>
      </c>
      <c r="D91" s="97">
        <f t="shared" si="17"/>
        <v>64.3</v>
      </c>
      <c r="E91" s="97"/>
      <c r="F91" s="89">
        <v>94.59</v>
      </c>
      <c r="G91" s="89">
        <f t="shared" si="18"/>
        <v>111.59</v>
      </c>
      <c r="H91" s="90">
        <v>54.4</v>
      </c>
      <c r="I91" s="91">
        <f t="shared" si="19"/>
        <v>71.400000000000006</v>
      </c>
      <c r="J91" s="63"/>
      <c r="K91" s="63"/>
    </row>
    <row r="92" spans="2:11" x14ac:dyDescent="0.25">
      <c r="B92" s="77" t="s">
        <v>104</v>
      </c>
      <c r="C92" s="88">
        <v>39.25</v>
      </c>
      <c r="D92" s="97">
        <f t="shared" si="17"/>
        <v>56.25</v>
      </c>
      <c r="E92" s="97"/>
      <c r="F92" s="89">
        <v>78.489999999999995</v>
      </c>
      <c r="G92" s="89">
        <f t="shared" si="18"/>
        <v>95.49</v>
      </c>
      <c r="H92" s="90">
        <v>45.14</v>
      </c>
      <c r="I92" s="91">
        <f t="shared" si="19"/>
        <v>62.14</v>
      </c>
      <c r="J92" s="63"/>
      <c r="K92" s="63"/>
    </row>
    <row r="93" spans="2:11" ht="16.5" thickBot="1" x14ac:dyDescent="0.3">
      <c r="D93" s="101"/>
      <c r="E93" s="102"/>
    </row>
    <row r="94" spans="2:11" ht="32.25" thickBot="1" x14ac:dyDescent="0.3">
      <c r="B94" s="27" t="s">
        <v>105</v>
      </c>
      <c r="C94" s="81" t="s">
        <v>92</v>
      </c>
      <c r="D94" s="93" t="s">
        <v>93</v>
      </c>
      <c r="E94" s="93"/>
      <c r="F94" s="82" t="s">
        <v>94</v>
      </c>
      <c r="G94" s="82" t="s">
        <v>95</v>
      </c>
      <c r="H94" s="83" t="s">
        <v>96</v>
      </c>
      <c r="I94" s="83" t="s">
        <v>97</v>
      </c>
      <c r="K94" s="33" t="s">
        <v>19</v>
      </c>
    </row>
    <row r="95" spans="2:11" x14ac:dyDescent="0.25">
      <c r="B95" s="77" t="s">
        <v>98</v>
      </c>
      <c r="C95" s="92">
        <f>C86/$K$95</f>
        <v>122.76249999999999</v>
      </c>
      <c r="D95" s="94">
        <f>D86/$K$95</f>
        <v>144.01249999999999</v>
      </c>
      <c r="E95" s="95"/>
      <c r="F95" s="92">
        <f>F86/$K$95</f>
        <v>245.51249999999999</v>
      </c>
      <c r="G95" s="92">
        <f>G86/$K$95</f>
        <v>266.76249999999999</v>
      </c>
      <c r="H95" s="92">
        <f>H86/$K$95</f>
        <v>141.17499999999998</v>
      </c>
      <c r="I95" s="92">
        <f>I86/$K$95</f>
        <v>162.42499999999998</v>
      </c>
      <c r="K95" s="5">
        <v>0.8</v>
      </c>
    </row>
    <row r="96" spans="2:11" x14ac:dyDescent="0.25">
      <c r="B96" s="77" t="s">
        <v>99</v>
      </c>
      <c r="C96" s="92">
        <f t="shared" ref="C96:D101" si="20">C87/$K$95</f>
        <v>109.5625</v>
      </c>
      <c r="D96" s="97">
        <f t="shared" si="20"/>
        <v>130.8125</v>
      </c>
      <c r="E96" s="97"/>
      <c r="F96" s="92">
        <f t="shared" ref="F96:I101" si="21">F87/$K$95</f>
        <v>219.13749999999999</v>
      </c>
      <c r="G96" s="92">
        <f t="shared" si="21"/>
        <v>240.38749999999999</v>
      </c>
      <c r="H96" s="92">
        <f t="shared" si="21"/>
        <v>125.99999999999999</v>
      </c>
      <c r="I96" s="92">
        <f t="shared" si="21"/>
        <v>147.25</v>
      </c>
    </row>
    <row r="97" spans="2:9" x14ac:dyDescent="0.25">
      <c r="B97" s="77" t="s">
        <v>100</v>
      </c>
      <c r="C97" s="92">
        <f t="shared" si="20"/>
        <v>89.224999999999994</v>
      </c>
      <c r="D97" s="97">
        <f t="shared" si="20"/>
        <v>110.47499999999999</v>
      </c>
      <c r="E97" s="97"/>
      <c r="F97" s="92">
        <f t="shared" si="21"/>
        <v>178.41249999999997</v>
      </c>
      <c r="G97" s="92">
        <f t="shared" si="21"/>
        <v>199.66249999999997</v>
      </c>
      <c r="H97" s="92">
        <f t="shared" si="21"/>
        <v>102.6125</v>
      </c>
      <c r="I97" s="92">
        <f t="shared" si="21"/>
        <v>123.8625</v>
      </c>
    </row>
    <row r="98" spans="2:9" x14ac:dyDescent="0.25">
      <c r="B98" s="77" t="s">
        <v>101</v>
      </c>
      <c r="C98" s="92">
        <f t="shared" si="20"/>
        <v>79.174999999999997</v>
      </c>
      <c r="D98" s="97">
        <f t="shared" si="20"/>
        <v>100.425</v>
      </c>
      <c r="E98" s="97"/>
      <c r="F98" s="92">
        <f t="shared" si="21"/>
        <v>158.375</v>
      </c>
      <c r="G98" s="92">
        <f t="shared" si="21"/>
        <v>179.62499999999997</v>
      </c>
      <c r="H98" s="92">
        <f t="shared" si="21"/>
        <v>91.05</v>
      </c>
      <c r="I98" s="92">
        <f t="shared" si="21"/>
        <v>112.3</v>
      </c>
    </row>
    <row r="99" spans="2:9" x14ac:dyDescent="0.25">
      <c r="B99" s="77" t="s">
        <v>102</v>
      </c>
      <c r="C99" s="92">
        <f t="shared" si="20"/>
        <v>69.162499999999994</v>
      </c>
      <c r="D99" s="97">
        <f t="shared" si="20"/>
        <v>90.412499999999994</v>
      </c>
      <c r="E99" s="97"/>
      <c r="F99" s="92">
        <f t="shared" si="21"/>
        <v>138.29999999999998</v>
      </c>
      <c r="G99" s="92">
        <f t="shared" si="21"/>
        <v>159.54999999999998</v>
      </c>
      <c r="H99" s="92">
        <f t="shared" si="21"/>
        <v>79.537499999999994</v>
      </c>
      <c r="I99" s="92">
        <f t="shared" si="21"/>
        <v>100.78749999999999</v>
      </c>
    </row>
    <row r="100" spans="2:9" x14ac:dyDescent="0.25">
      <c r="B100" s="77" t="s">
        <v>103</v>
      </c>
      <c r="C100" s="92">
        <f t="shared" si="20"/>
        <v>59.124999999999993</v>
      </c>
      <c r="D100" s="97">
        <f t="shared" si="20"/>
        <v>80.374999999999986</v>
      </c>
      <c r="E100" s="97"/>
      <c r="F100" s="92">
        <f t="shared" si="21"/>
        <v>118.2375</v>
      </c>
      <c r="G100" s="92">
        <f t="shared" si="21"/>
        <v>139.48749999999998</v>
      </c>
      <c r="H100" s="92">
        <f t="shared" si="21"/>
        <v>68</v>
      </c>
      <c r="I100" s="92">
        <f t="shared" si="21"/>
        <v>89.25</v>
      </c>
    </row>
    <row r="101" spans="2:9" x14ac:dyDescent="0.25">
      <c r="B101" s="77" t="s">
        <v>104</v>
      </c>
      <c r="C101" s="92">
        <f t="shared" si="20"/>
        <v>49.0625</v>
      </c>
      <c r="D101" s="97">
        <f t="shared" si="20"/>
        <v>70.3125</v>
      </c>
      <c r="E101" s="97"/>
      <c r="F101" s="92">
        <f t="shared" si="21"/>
        <v>98.112499999999983</v>
      </c>
      <c r="G101" s="92">
        <f t="shared" si="21"/>
        <v>119.36249999999998</v>
      </c>
      <c r="H101" s="92">
        <f t="shared" si="21"/>
        <v>56.424999999999997</v>
      </c>
      <c r="I101" s="92">
        <f t="shared" si="21"/>
        <v>77.674999999999997</v>
      </c>
    </row>
    <row r="102" spans="2:9" x14ac:dyDescent="0.25">
      <c r="D102" s="96"/>
      <c r="E102" s="96"/>
    </row>
    <row r="103" spans="2:9" x14ac:dyDescent="0.25">
      <c r="D103" s="96"/>
      <c r="E103" s="96"/>
    </row>
    <row r="104" spans="2:9" x14ac:dyDescent="0.25">
      <c r="B104" s="27" t="s">
        <v>106</v>
      </c>
      <c r="C104" s="27" t="s">
        <v>107</v>
      </c>
    </row>
    <row r="105" spans="2:9" x14ac:dyDescent="0.25">
      <c r="B105" s="27" t="s">
        <v>108</v>
      </c>
      <c r="C105" s="27">
        <v>8.6999999999999993</v>
      </c>
      <c r="G105" s="96">
        <v>2500000</v>
      </c>
      <c r="H105" s="96"/>
      <c r="I105" s="63">
        <f>G105/1000*C105</f>
        <v>21750</v>
      </c>
    </row>
    <row r="106" spans="2:9" x14ac:dyDescent="0.25">
      <c r="B106" s="27" t="s">
        <v>109</v>
      </c>
      <c r="C106" s="27">
        <v>7.9</v>
      </c>
      <c r="G106" s="96">
        <v>2500000</v>
      </c>
      <c r="H106" s="96"/>
      <c r="I106" s="63">
        <f>G106/1000*C106</f>
        <v>19750</v>
      </c>
    </row>
    <row r="107" spans="2:9" x14ac:dyDescent="0.25">
      <c r="B107" s="27" t="s">
        <v>110</v>
      </c>
      <c r="C107" s="27">
        <v>6.95</v>
      </c>
      <c r="G107" s="96">
        <v>2500000</v>
      </c>
      <c r="H107" s="96"/>
      <c r="I107" s="63">
        <f>G107/1000*C107</f>
        <v>17375</v>
      </c>
    </row>
    <row r="108" spans="2:9" x14ac:dyDescent="0.25">
      <c r="B108" s="27" t="s">
        <v>111</v>
      </c>
      <c r="I108" s="63">
        <f>I105+I106+I107</f>
        <v>58875</v>
      </c>
    </row>
    <row r="109" spans="2:9" x14ac:dyDescent="0.25">
      <c r="B109" s="27" t="s">
        <v>112</v>
      </c>
      <c r="C109" s="27">
        <v>12</v>
      </c>
      <c r="I109" s="63">
        <f>I108*C109*0.01</f>
        <v>7065</v>
      </c>
    </row>
    <row r="110" spans="2:9" x14ac:dyDescent="0.25">
      <c r="B110" s="27" t="s">
        <v>113</v>
      </c>
      <c r="I110" s="63">
        <f>I108+I109</f>
        <v>65940</v>
      </c>
    </row>
    <row r="111" spans="2:9" x14ac:dyDescent="0.25">
      <c r="B111" s="27" t="s">
        <v>114</v>
      </c>
      <c r="I111" s="63">
        <f>I110/0.9</f>
        <v>73266.666666666672</v>
      </c>
    </row>
    <row r="114" spans="6:7" x14ac:dyDescent="0.25">
      <c r="F114" s="21"/>
      <c r="G114" s="21"/>
    </row>
    <row r="115" spans="6:7" x14ac:dyDescent="0.25">
      <c r="F115" s="21"/>
      <c r="G115" s="77"/>
    </row>
    <row r="116" spans="6:7" x14ac:dyDescent="0.25">
      <c r="F116" s="21"/>
      <c r="G116" s="77"/>
    </row>
    <row r="117" spans="6:7" x14ac:dyDescent="0.25">
      <c r="F117" s="21"/>
      <c r="G117" s="77"/>
    </row>
    <row r="118" spans="6:7" x14ac:dyDescent="0.25">
      <c r="F118" s="21"/>
      <c r="G118" s="77"/>
    </row>
    <row r="119" spans="6:7" x14ac:dyDescent="0.25">
      <c r="F119" s="21"/>
      <c r="G119" s="77"/>
    </row>
  </sheetData>
  <mergeCells count="249">
    <mergeCell ref="G105:H105"/>
    <mergeCell ref="G106:H106"/>
    <mergeCell ref="G107:H107"/>
    <mergeCell ref="D100:E100"/>
    <mergeCell ref="D101:E101"/>
    <mergeCell ref="D102:E102"/>
    <mergeCell ref="D103:E103"/>
    <mergeCell ref="D90:E90"/>
    <mergeCell ref="D91:E91"/>
    <mergeCell ref="D98:E98"/>
    <mergeCell ref="D99:E99"/>
    <mergeCell ref="D92:E92"/>
    <mergeCell ref="D93:E93"/>
    <mergeCell ref="D94:E94"/>
    <mergeCell ref="D95:E95"/>
    <mergeCell ref="D96:E96"/>
    <mergeCell ref="D97:E97"/>
    <mergeCell ref="A75:O75"/>
    <mergeCell ref="D87:E87"/>
    <mergeCell ref="D88:E88"/>
    <mergeCell ref="D89:E89"/>
    <mergeCell ref="A69:O69"/>
    <mergeCell ref="A70:P70"/>
    <mergeCell ref="A71:O71"/>
    <mergeCell ref="A72:P72"/>
    <mergeCell ref="A73:O73"/>
    <mergeCell ref="A74:O74"/>
    <mergeCell ref="D85:E85"/>
    <mergeCell ref="D86:E86"/>
    <mergeCell ref="A62:O62"/>
    <mergeCell ref="A63:P64"/>
    <mergeCell ref="A65:O65"/>
    <mergeCell ref="A66:P66"/>
    <mergeCell ref="A67:O67"/>
    <mergeCell ref="A68:P68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M59:N59"/>
    <mergeCell ref="C58:D58"/>
    <mergeCell ref="E58:F58"/>
    <mergeCell ref="G58:H58"/>
    <mergeCell ref="I58:J58"/>
    <mergeCell ref="K58:L58"/>
    <mergeCell ref="M58:N58"/>
    <mergeCell ref="C57:D57"/>
    <mergeCell ref="E57:F57"/>
    <mergeCell ref="G57:H57"/>
    <mergeCell ref="I57:J57"/>
    <mergeCell ref="K57:L57"/>
    <mergeCell ref="M57:N57"/>
    <mergeCell ref="C56:D56"/>
    <mergeCell ref="E56:F56"/>
    <mergeCell ref="G56:H56"/>
    <mergeCell ref="I56:J56"/>
    <mergeCell ref="K56:L56"/>
    <mergeCell ref="M56:N56"/>
    <mergeCell ref="C55:D55"/>
    <mergeCell ref="E55:F55"/>
    <mergeCell ref="G55:H55"/>
    <mergeCell ref="I55:J55"/>
    <mergeCell ref="K55:L55"/>
    <mergeCell ref="M55:N55"/>
    <mergeCell ref="C54:D54"/>
    <mergeCell ref="E54:F54"/>
    <mergeCell ref="G54:H54"/>
    <mergeCell ref="I54:J54"/>
    <mergeCell ref="K54:L54"/>
    <mergeCell ref="M54:N54"/>
    <mergeCell ref="C53:D53"/>
    <mergeCell ref="E53:F53"/>
    <mergeCell ref="G53:H53"/>
    <mergeCell ref="I53:J53"/>
    <mergeCell ref="K53:L53"/>
    <mergeCell ref="M53:N53"/>
    <mergeCell ref="C52:D52"/>
    <mergeCell ref="E52:F52"/>
    <mergeCell ref="G52:H52"/>
    <mergeCell ref="I52:J52"/>
    <mergeCell ref="K52:L52"/>
    <mergeCell ref="M52:N52"/>
    <mergeCell ref="C51:D51"/>
    <mergeCell ref="E51:F51"/>
    <mergeCell ref="G51:H51"/>
    <mergeCell ref="I51:J51"/>
    <mergeCell ref="K51:L51"/>
    <mergeCell ref="M51:N51"/>
    <mergeCell ref="C50:D50"/>
    <mergeCell ref="E50:F50"/>
    <mergeCell ref="G50:H50"/>
    <mergeCell ref="I50:J50"/>
    <mergeCell ref="K50:L50"/>
    <mergeCell ref="M50:N50"/>
    <mergeCell ref="C49:D49"/>
    <mergeCell ref="E49:F49"/>
    <mergeCell ref="G49:H49"/>
    <mergeCell ref="I49:J49"/>
    <mergeCell ref="K49:L49"/>
    <mergeCell ref="M49:N49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M46:N46"/>
    <mergeCell ref="C45:D45"/>
    <mergeCell ref="E45:F45"/>
    <mergeCell ref="G45:H45"/>
    <mergeCell ref="I45:J45"/>
    <mergeCell ref="K45:L45"/>
    <mergeCell ref="M45:N45"/>
    <mergeCell ref="C44:D44"/>
    <mergeCell ref="E44:F44"/>
    <mergeCell ref="G44:H44"/>
    <mergeCell ref="I44:J44"/>
    <mergeCell ref="K44:L44"/>
    <mergeCell ref="M44:N44"/>
    <mergeCell ref="C43:D43"/>
    <mergeCell ref="E43:F43"/>
    <mergeCell ref="G43:H43"/>
    <mergeCell ref="I43:J43"/>
    <mergeCell ref="K43:L43"/>
    <mergeCell ref="M43:N43"/>
    <mergeCell ref="C42:D42"/>
    <mergeCell ref="E42:F42"/>
    <mergeCell ref="G42:H42"/>
    <mergeCell ref="I42:J42"/>
    <mergeCell ref="K42:L42"/>
    <mergeCell ref="M42:N42"/>
    <mergeCell ref="C41:D41"/>
    <mergeCell ref="E41:F41"/>
    <mergeCell ref="G41:H41"/>
    <mergeCell ref="I41:J41"/>
    <mergeCell ref="K41:L41"/>
    <mergeCell ref="M41:N41"/>
    <mergeCell ref="C40:D40"/>
    <mergeCell ref="E40:F40"/>
    <mergeCell ref="G40:H40"/>
    <mergeCell ref="I40:J40"/>
    <mergeCell ref="K40:L40"/>
    <mergeCell ref="M40:N40"/>
    <mergeCell ref="C39:D39"/>
    <mergeCell ref="E39:F39"/>
    <mergeCell ref="G39:H39"/>
    <mergeCell ref="I39:J39"/>
    <mergeCell ref="K39:L39"/>
    <mergeCell ref="M39:N39"/>
    <mergeCell ref="A36:O36"/>
    <mergeCell ref="A37:P37"/>
    <mergeCell ref="C38:D38"/>
    <mergeCell ref="E38:F38"/>
    <mergeCell ref="G38:H38"/>
    <mergeCell ref="I38:J38"/>
    <mergeCell ref="K38:L38"/>
    <mergeCell ref="M38:N38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M34:N34"/>
    <mergeCell ref="C33:D33"/>
    <mergeCell ref="E33:F33"/>
    <mergeCell ref="G33:H33"/>
    <mergeCell ref="I33:J33"/>
    <mergeCell ref="K33:L33"/>
    <mergeCell ref="M33:N33"/>
    <mergeCell ref="C32:D32"/>
    <mergeCell ref="E32:F32"/>
    <mergeCell ref="G32:H32"/>
    <mergeCell ref="I32:J32"/>
    <mergeCell ref="K32:L32"/>
    <mergeCell ref="M32:N32"/>
    <mergeCell ref="C31:D31"/>
    <mergeCell ref="E31:F31"/>
    <mergeCell ref="G31:H31"/>
    <mergeCell ref="I31:J31"/>
    <mergeCell ref="K31:L31"/>
    <mergeCell ref="M31:N31"/>
    <mergeCell ref="C30:D30"/>
    <mergeCell ref="E30:F30"/>
    <mergeCell ref="G30:H30"/>
    <mergeCell ref="I30:J30"/>
    <mergeCell ref="K30:L30"/>
    <mergeCell ref="M30:N30"/>
    <mergeCell ref="C29:D29"/>
    <mergeCell ref="E29:F29"/>
    <mergeCell ref="G29:H29"/>
    <mergeCell ref="I29:J29"/>
    <mergeCell ref="K29:L29"/>
    <mergeCell ref="M29:N29"/>
    <mergeCell ref="A27:P27"/>
    <mergeCell ref="C28:D28"/>
    <mergeCell ref="E28:F28"/>
    <mergeCell ref="G28:H28"/>
    <mergeCell ref="I28:J28"/>
    <mergeCell ref="K28:L28"/>
    <mergeCell ref="M28:N28"/>
    <mergeCell ref="A6:P6"/>
    <mergeCell ref="A14:E14"/>
    <mergeCell ref="I14:K14"/>
    <mergeCell ref="A15:P15"/>
    <mergeCell ref="A16:P16"/>
    <mergeCell ref="A25:E25"/>
    <mergeCell ref="G25:G26"/>
    <mergeCell ref="I25:K26"/>
    <mergeCell ref="M25:M26"/>
    <mergeCell ref="O25:O26"/>
    <mergeCell ref="A1:P2"/>
    <mergeCell ref="A3:P3"/>
    <mergeCell ref="A4:A5"/>
    <mergeCell ref="B4:B5"/>
    <mergeCell ref="C4:H4"/>
    <mergeCell ref="I4:N4"/>
    <mergeCell ref="O4:O5"/>
    <mergeCell ref="P4:P5"/>
    <mergeCell ref="A26:E26"/>
  </mergeCells>
  <dataValidations disablePrompts="1" count="1">
    <dataValidation type="list" allowBlank="1" showInputMessage="1" showErrorMessage="1" sqref="O7:O13 O17:O24 O29:O35 O39:O61 K95" xr:uid="{564A83EC-1251-4499-9750-0BA084F9F7CB}">
      <formula1>"1,.95,.94,.93,.92,.91,.9,.89,.88,.87,.86,.85,.84,.83,.82,.81,.8,.79,.78,.77,.76,.75,.74,.73,.72,.71,.7,.66"</formula1>
    </dataValidation>
  </dataValidations>
  <printOptions horizontalCentered="1" verticalCentered="1"/>
  <pageMargins left="0.45" right="0.45" top="0.75" bottom="0.75" header="0.3" footer="0.3"/>
  <pageSetup paperSize="17" scale="72" fitToHeight="0" orientation="portrait" horizontalDpi="300" verticalDpi="300" r:id="rId1"/>
  <colBreaks count="1" manualBreakCount="1">
    <brk id="16" max="83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CC111-14EE-4EA2-A348-76D49CE849B6}">
  <dimension ref="A1:W119"/>
  <sheetViews>
    <sheetView zoomScale="80" zoomScaleNormal="80" workbookViewId="0">
      <selection sqref="A1:P2"/>
    </sheetView>
  </sheetViews>
  <sheetFormatPr defaultColWidth="9.140625" defaultRowHeight="15.75" x14ac:dyDescent="0.25"/>
  <cols>
    <col min="1" max="1" width="9.140625" style="27"/>
    <col min="2" max="2" width="44.85546875" style="27" customWidth="1"/>
    <col min="3" max="3" width="14.140625" style="27" customWidth="1"/>
    <col min="4" max="4" width="7.28515625" style="27" customWidth="1"/>
    <col min="5" max="5" width="9.42578125" style="27" customWidth="1"/>
    <col min="6" max="6" width="15.7109375" style="27" customWidth="1"/>
    <col min="7" max="7" width="19.140625" style="27" customWidth="1"/>
    <col min="8" max="14" width="15.28515625" style="27" customWidth="1"/>
    <col min="15" max="15" width="14.85546875" style="27" customWidth="1"/>
    <col min="16" max="16" width="22" style="27" customWidth="1"/>
    <col min="17" max="17" width="9.140625" style="27"/>
    <col min="18" max="18" width="12.42578125" style="27" bestFit="1" customWidth="1"/>
    <col min="19" max="19" width="11.42578125" style="27" customWidth="1"/>
    <col min="20" max="20" width="15.5703125" style="27" bestFit="1" customWidth="1"/>
    <col min="21" max="21" width="12.85546875" style="27" customWidth="1"/>
    <col min="22" max="22" width="13.85546875" style="27" customWidth="1"/>
    <col min="23" max="23" width="11.85546875" style="27" customWidth="1"/>
    <col min="24" max="16384" width="9.140625" style="27"/>
  </cols>
  <sheetData>
    <row r="1" spans="1:20" ht="23.25" customHeight="1" x14ac:dyDescent="0.25">
      <c r="A1" s="174" t="str" cm="1">
        <f t="array" aca="1" ref="A1" ca="1">MID(CELL("filename",C1),FIND("]",CELL("filename",C1))+1,255)</f>
        <v>Option 1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6"/>
      <c r="R1" s="27" t="str" cm="1">
        <f t="array" aca="1" ref="R1" ca="1">MID(CELL("filename",C1),FIND("]",CELL("filename",C1))+1,255)</f>
        <v>Option 1</v>
      </c>
    </row>
    <row r="2" spans="1:20" ht="19.5" customHeight="1" thickBot="1" x14ac:dyDescent="0.3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9"/>
    </row>
    <row r="3" spans="1:20" ht="19.5" thickBot="1" x14ac:dyDescent="0.3">
      <c r="A3" s="150" t="s">
        <v>53</v>
      </c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</row>
    <row r="4" spans="1:20" ht="19.5" thickBot="1" x14ac:dyDescent="0.3">
      <c r="A4" s="180" t="s">
        <v>9</v>
      </c>
      <c r="B4" s="180" t="s">
        <v>0</v>
      </c>
      <c r="C4" s="133" t="s">
        <v>54</v>
      </c>
      <c r="D4" s="182"/>
      <c r="E4" s="182"/>
      <c r="F4" s="182"/>
      <c r="G4" s="182"/>
      <c r="H4" s="134"/>
      <c r="I4" s="183" t="s">
        <v>55</v>
      </c>
      <c r="J4" s="184"/>
      <c r="K4" s="184"/>
      <c r="L4" s="184"/>
      <c r="M4" s="184"/>
      <c r="N4" s="185"/>
      <c r="O4" s="180" t="s">
        <v>19</v>
      </c>
      <c r="P4" s="186" t="s">
        <v>56</v>
      </c>
    </row>
    <row r="5" spans="1:20" ht="57" thickBot="1" x14ac:dyDescent="0.3">
      <c r="A5" s="181"/>
      <c r="B5" s="181"/>
      <c r="C5" s="35" t="s">
        <v>1</v>
      </c>
      <c r="D5" s="35" t="s">
        <v>34</v>
      </c>
      <c r="E5" s="35" t="s">
        <v>57</v>
      </c>
      <c r="F5" s="35" t="s">
        <v>58</v>
      </c>
      <c r="G5" s="36" t="s">
        <v>59</v>
      </c>
      <c r="H5" s="36" t="s">
        <v>3</v>
      </c>
      <c r="I5" s="37" t="s">
        <v>1</v>
      </c>
      <c r="J5" s="37" t="s">
        <v>34</v>
      </c>
      <c r="K5" s="37" t="s">
        <v>60</v>
      </c>
      <c r="L5" s="37" t="s">
        <v>61</v>
      </c>
      <c r="M5" s="38" t="s">
        <v>62</v>
      </c>
      <c r="N5" s="37" t="s">
        <v>4</v>
      </c>
      <c r="O5" s="181"/>
      <c r="P5" s="187"/>
    </row>
    <row r="6" spans="1:20" ht="34.5" customHeight="1" thickBot="1" x14ac:dyDescent="0.3">
      <c r="A6" s="150" t="s">
        <v>7</v>
      </c>
      <c r="B6" s="150"/>
      <c r="C6" s="150"/>
      <c r="D6" s="150"/>
      <c r="E6" s="150"/>
      <c r="F6" s="150"/>
      <c r="G6" s="150"/>
      <c r="H6" s="150"/>
      <c r="I6" s="149"/>
      <c r="J6" s="149"/>
      <c r="K6" s="149"/>
      <c r="L6" s="149"/>
      <c r="M6" s="149"/>
      <c r="N6" s="149"/>
      <c r="O6" s="150"/>
      <c r="P6" s="149"/>
      <c r="T6" s="63">
        <f>(P25+P36+P62)*0.05</f>
        <v>0</v>
      </c>
    </row>
    <row r="7" spans="1:20" ht="16.5" thickTop="1" x14ac:dyDescent="0.25">
      <c r="A7" s="23">
        <v>1</v>
      </c>
      <c r="B7" s="24" t="s">
        <v>8</v>
      </c>
      <c r="C7" s="13">
        <v>0</v>
      </c>
      <c r="D7" s="13">
        <v>0</v>
      </c>
      <c r="E7" s="13"/>
      <c r="F7" s="13">
        <f>C7*D7*E7</f>
        <v>0</v>
      </c>
      <c r="G7" s="39">
        <v>90</v>
      </c>
      <c r="H7" s="40">
        <f t="shared" ref="H7:H13" si="0">F7*G7</f>
        <v>0</v>
      </c>
      <c r="I7" s="41"/>
      <c r="J7" s="42"/>
      <c r="K7" s="42"/>
      <c r="L7" s="42">
        <f>I7*J7*K7</f>
        <v>0</v>
      </c>
      <c r="M7" s="43">
        <v>150</v>
      </c>
      <c r="N7" s="44">
        <f>L7*M7</f>
        <v>0</v>
      </c>
      <c r="O7" s="5">
        <v>0.85</v>
      </c>
      <c r="P7" s="45">
        <f>H7/O7+N7/O7</f>
        <v>0</v>
      </c>
      <c r="R7" s="29"/>
    </row>
    <row r="8" spans="1:20" x14ac:dyDescent="0.25">
      <c r="A8" s="23">
        <v>2</v>
      </c>
      <c r="B8" s="4" t="s">
        <v>7</v>
      </c>
      <c r="C8" s="13">
        <v>0.05</v>
      </c>
      <c r="D8" s="13">
        <v>1</v>
      </c>
      <c r="E8" s="13">
        <v>1</v>
      </c>
      <c r="F8" s="13">
        <f>C8*D8*E8</f>
        <v>0.05</v>
      </c>
      <c r="G8" s="39">
        <f>(P25+P36+P62)</f>
        <v>0</v>
      </c>
      <c r="H8" s="46">
        <f t="shared" si="0"/>
        <v>0</v>
      </c>
      <c r="I8" s="47"/>
      <c r="J8" s="48"/>
      <c r="K8" s="48"/>
      <c r="L8" s="48">
        <f>I8*J8*K8</f>
        <v>0</v>
      </c>
      <c r="M8" s="39">
        <v>150</v>
      </c>
      <c r="N8" s="46">
        <f>L8*M8</f>
        <v>0</v>
      </c>
      <c r="O8" s="5">
        <v>0.85</v>
      </c>
      <c r="P8" s="49">
        <f t="shared" ref="P8:P13" si="1">H8/O8+N8/O8</f>
        <v>0</v>
      </c>
    </row>
    <row r="9" spans="1:20" x14ac:dyDescent="0.25">
      <c r="A9" s="23">
        <v>3</v>
      </c>
      <c r="B9" s="4" t="s">
        <v>26</v>
      </c>
      <c r="C9" s="13"/>
      <c r="D9" s="13"/>
      <c r="E9" s="13"/>
      <c r="F9" s="13">
        <f>C9*D9*E9</f>
        <v>0</v>
      </c>
      <c r="G9" s="39">
        <v>2000</v>
      </c>
      <c r="H9" s="46">
        <f t="shared" si="0"/>
        <v>0</v>
      </c>
      <c r="I9" s="47"/>
      <c r="J9" s="48"/>
      <c r="K9" s="48"/>
      <c r="L9" s="48">
        <f>I9*J9*K9</f>
        <v>0</v>
      </c>
      <c r="M9" s="39">
        <v>0</v>
      </c>
      <c r="N9" s="46">
        <f t="shared" ref="N9:N13" si="2">L9*M9</f>
        <v>0</v>
      </c>
      <c r="O9" s="5">
        <v>0.85</v>
      </c>
      <c r="P9" s="50">
        <f t="shared" si="1"/>
        <v>0</v>
      </c>
    </row>
    <row r="10" spans="1:20" x14ac:dyDescent="0.25">
      <c r="A10" s="23">
        <v>4</v>
      </c>
      <c r="B10" s="4" t="s">
        <v>38</v>
      </c>
      <c r="C10" s="13">
        <v>0.05</v>
      </c>
      <c r="D10" s="13">
        <v>1</v>
      </c>
      <c r="E10" s="13">
        <v>1</v>
      </c>
      <c r="F10" s="13">
        <f t="shared" ref="F10:F11" si="3">C10*D10*E10</f>
        <v>0.05</v>
      </c>
      <c r="G10" s="39">
        <f>P36</f>
        <v>0</v>
      </c>
      <c r="H10" s="46">
        <f t="shared" si="0"/>
        <v>0</v>
      </c>
      <c r="I10" s="47"/>
      <c r="J10" s="48"/>
      <c r="K10" s="48"/>
      <c r="L10" s="48">
        <f t="shared" ref="L10:L13" si="4">I10*J10*K10</f>
        <v>0</v>
      </c>
      <c r="M10" s="39">
        <v>150</v>
      </c>
      <c r="N10" s="46">
        <f t="shared" si="2"/>
        <v>0</v>
      </c>
      <c r="O10" s="5">
        <v>0.85</v>
      </c>
      <c r="P10" s="50">
        <f t="shared" si="1"/>
        <v>0</v>
      </c>
    </row>
    <row r="11" spans="1:20" x14ac:dyDescent="0.25">
      <c r="A11" s="23">
        <v>5</v>
      </c>
      <c r="B11" s="4" t="s">
        <v>39</v>
      </c>
      <c r="C11" s="13">
        <v>0.05</v>
      </c>
      <c r="D11" s="13">
        <v>1</v>
      </c>
      <c r="E11" s="13">
        <v>1</v>
      </c>
      <c r="F11" s="13">
        <f t="shared" si="3"/>
        <v>0.05</v>
      </c>
      <c r="G11" s="39">
        <f>P62</f>
        <v>0</v>
      </c>
      <c r="H11" s="46">
        <f t="shared" si="0"/>
        <v>0</v>
      </c>
      <c r="I11" s="47"/>
      <c r="J11" s="48"/>
      <c r="K11" s="48"/>
      <c r="L11" s="48">
        <f t="shared" si="4"/>
        <v>0</v>
      </c>
      <c r="M11" s="39">
        <v>150</v>
      </c>
      <c r="N11" s="46">
        <f t="shared" si="2"/>
        <v>0</v>
      </c>
      <c r="O11" s="5">
        <v>0.85</v>
      </c>
      <c r="P11" s="50">
        <f t="shared" si="1"/>
        <v>0</v>
      </c>
    </row>
    <row r="12" spans="1:20" x14ac:dyDescent="0.25">
      <c r="A12" s="23">
        <v>6</v>
      </c>
      <c r="B12" s="4" t="s">
        <v>36</v>
      </c>
      <c r="C12" s="13"/>
      <c r="D12" s="13"/>
      <c r="E12" s="13"/>
      <c r="F12" s="13">
        <f>C12*D12*E12</f>
        <v>0</v>
      </c>
      <c r="G12" s="39">
        <v>92</v>
      </c>
      <c r="H12" s="46">
        <f t="shared" si="0"/>
        <v>0</v>
      </c>
      <c r="I12" s="47"/>
      <c r="J12" s="48"/>
      <c r="K12" s="48"/>
      <c r="L12" s="48">
        <f t="shared" si="4"/>
        <v>0</v>
      </c>
      <c r="M12" s="39">
        <v>150</v>
      </c>
      <c r="N12" s="46">
        <f t="shared" si="2"/>
        <v>0</v>
      </c>
      <c r="O12" s="5">
        <v>0.85</v>
      </c>
      <c r="P12" s="50">
        <f t="shared" si="1"/>
        <v>0</v>
      </c>
    </row>
    <row r="13" spans="1:20" x14ac:dyDescent="0.25">
      <c r="A13" s="23">
        <v>7</v>
      </c>
      <c r="B13" s="4" t="s">
        <v>50</v>
      </c>
      <c r="C13" s="13">
        <v>1</v>
      </c>
      <c r="D13" s="13">
        <v>1</v>
      </c>
      <c r="E13" s="13">
        <v>1</v>
      </c>
      <c r="F13" s="13">
        <f>C13*D13*E13</f>
        <v>1</v>
      </c>
      <c r="G13" s="39">
        <v>0</v>
      </c>
      <c r="H13" s="46">
        <f t="shared" si="0"/>
        <v>0</v>
      </c>
      <c r="I13" s="47"/>
      <c r="J13" s="48"/>
      <c r="K13" s="48"/>
      <c r="L13" s="48">
        <f t="shared" si="4"/>
        <v>0</v>
      </c>
      <c r="M13" s="39">
        <v>175</v>
      </c>
      <c r="N13" s="46">
        <f t="shared" si="2"/>
        <v>0</v>
      </c>
      <c r="O13" s="5">
        <v>0.85</v>
      </c>
      <c r="P13" s="50">
        <f t="shared" si="1"/>
        <v>0</v>
      </c>
    </row>
    <row r="14" spans="1:20" s="21" customFormat="1" ht="15.75" customHeight="1" thickBot="1" x14ac:dyDescent="0.3">
      <c r="A14" s="157" t="s">
        <v>11</v>
      </c>
      <c r="B14" s="158"/>
      <c r="C14" s="158"/>
      <c r="D14" s="158"/>
      <c r="E14" s="161"/>
      <c r="F14" s="8">
        <f>SUM(F7:F13)</f>
        <v>1.1499999999999999</v>
      </c>
      <c r="G14" s="8"/>
      <c r="H14" s="51">
        <f>SUM(H7:H13)</f>
        <v>0</v>
      </c>
      <c r="I14" s="152"/>
      <c r="J14" s="153"/>
      <c r="K14" s="154"/>
      <c r="L14" s="52">
        <f>SUM(L7:L13)</f>
        <v>0</v>
      </c>
      <c r="M14" s="53"/>
      <c r="N14" s="54">
        <f>SUM(N7:N13)</f>
        <v>0</v>
      </c>
      <c r="O14" s="55"/>
      <c r="P14" s="56">
        <f>SUM(P7:P13)</f>
        <v>0</v>
      </c>
    </row>
    <row r="15" spans="1:20" ht="16.5" thickTop="1" x14ac:dyDescent="0.25">
      <c r="A15" s="155"/>
      <c r="B15" s="155"/>
      <c r="C15" s="155"/>
      <c r="D15" s="155"/>
      <c r="E15" s="155"/>
      <c r="F15" s="155"/>
      <c r="G15" s="155"/>
      <c r="H15" s="155"/>
      <c r="I15" s="156"/>
      <c r="J15" s="156"/>
      <c r="K15" s="156"/>
      <c r="L15" s="156"/>
      <c r="M15" s="156"/>
      <c r="N15" s="156"/>
      <c r="O15" s="155"/>
      <c r="P15" s="156"/>
    </row>
    <row r="16" spans="1:20" ht="16.5" thickBot="1" x14ac:dyDescent="0.3">
      <c r="A16" s="157" t="s">
        <v>12</v>
      </c>
      <c r="B16" s="158"/>
      <c r="C16" s="158"/>
      <c r="D16" s="158"/>
      <c r="E16" s="158"/>
      <c r="F16" s="158"/>
      <c r="G16" s="158"/>
      <c r="H16" s="158"/>
      <c r="I16" s="159"/>
      <c r="J16" s="159"/>
      <c r="K16" s="159"/>
      <c r="L16" s="159"/>
      <c r="M16" s="159"/>
      <c r="N16" s="159"/>
      <c r="O16" s="158"/>
      <c r="P16" s="160"/>
    </row>
    <row r="17" spans="1:23" ht="16.5" thickTop="1" x14ac:dyDescent="0.25">
      <c r="A17" s="26">
        <v>1</v>
      </c>
      <c r="B17" s="31" t="s">
        <v>63</v>
      </c>
      <c r="C17" s="5"/>
      <c r="D17" s="5"/>
      <c r="E17" s="5"/>
      <c r="F17" s="5">
        <f t="shared" ref="F17:F24" si="5">C17*D17*E17</f>
        <v>0</v>
      </c>
      <c r="G17" s="57">
        <v>108</v>
      </c>
      <c r="H17" s="58">
        <f t="shared" ref="H17:H24" si="6">F17*G17</f>
        <v>0</v>
      </c>
      <c r="I17" s="41"/>
      <c r="J17" s="42"/>
      <c r="K17" s="42"/>
      <c r="L17" s="42">
        <f>I17*J17*K17</f>
        <v>0</v>
      </c>
      <c r="M17" s="43">
        <v>195</v>
      </c>
      <c r="N17" s="44">
        <f>L17*M17</f>
        <v>0</v>
      </c>
      <c r="O17" s="5">
        <v>0.85</v>
      </c>
      <c r="P17" s="45">
        <f>H17/O17+N17/O17</f>
        <v>0</v>
      </c>
    </row>
    <row r="18" spans="1:23" x14ac:dyDescent="0.25">
      <c r="A18" s="26">
        <v>2</v>
      </c>
      <c r="B18" s="31" t="s">
        <v>64</v>
      </c>
      <c r="C18" s="5"/>
      <c r="D18" s="5"/>
      <c r="E18" s="5"/>
      <c r="F18" s="5">
        <f t="shared" si="5"/>
        <v>0</v>
      </c>
      <c r="G18" s="57">
        <v>108</v>
      </c>
      <c r="H18" s="58">
        <f t="shared" si="6"/>
        <v>0</v>
      </c>
      <c r="I18" s="59"/>
      <c r="J18" s="60"/>
      <c r="K18" s="60"/>
      <c r="L18" s="60">
        <f t="shared" ref="L18:L24" si="7">I18*J18*K18</f>
        <v>0</v>
      </c>
      <c r="M18" s="57">
        <v>195</v>
      </c>
      <c r="N18" s="61">
        <f t="shared" ref="N18:N24" si="8">L18*M18</f>
        <v>0</v>
      </c>
      <c r="O18" s="5">
        <v>0.85</v>
      </c>
      <c r="P18" s="49">
        <f t="shared" ref="P18:P24" si="9">H18/O18+N18/O18</f>
        <v>0</v>
      </c>
      <c r="U18" s="62"/>
    </row>
    <row r="19" spans="1:23" x14ac:dyDescent="0.25">
      <c r="A19" s="26">
        <v>3</v>
      </c>
      <c r="B19" s="18" t="s">
        <v>65</v>
      </c>
      <c r="C19" s="5"/>
      <c r="D19" s="5"/>
      <c r="E19" s="5"/>
      <c r="F19" s="5">
        <f t="shared" si="5"/>
        <v>0</v>
      </c>
      <c r="G19" s="57">
        <v>108</v>
      </c>
      <c r="H19" s="58">
        <f t="shared" si="6"/>
        <v>0</v>
      </c>
      <c r="I19" s="59"/>
      <c r="J19" s="60"/>
      <c r="K19" s="60"/>
      <c r="L19" s="60">
        <f t="shared" si="7"/>
        <v>0</v>
      </c>
      <c r="M19" s="57">
        <v>195</v>
      </c>
      <c r="N19" s="61">
        <f t="shared" si="8"/>
        <v>0</v>
      </c>
      <c r="O19" s="5">
        <v>0.85</v>
      </c>
      <c r="P19" s="49">
        <f t="shared" si="9"/>
        <v>0</v>
      </c>
      <c r="R19" s="63"/>
      <c r="U19" s="62"/>
    </row>
    <row r="20" spans="1:23" x14ac:dyDescent="0.25">
      <c r="A20" s="26">
        <v>4</v>
      </c>
      <c r="B20" s="18"/>
      <c r="C20" s="5"/>
      <c r="D20" s="5"/>
      <c r="E20" s="5"/>
      <c r="F20" s="5">
        <f t="shared" si="5"/>
        <v>0</v>
      </c>
      <c r="G20" s="57">
        <v>108</v>
      </c>
      <c r="H20" s="58">
        <f t="shared" si="6"/>
        <v>0</v>
      </c>
      <c r="I20" s="59"/>
      <c r="J20" s="60"/>
      <c r="K20" s="60"/>
      <c r="L20" s="60">
        <f t="shared" si="7"/>
        <v>0</v>
      </c>
      <c r="M20" s="57">
        <v>195</v>
      </c>
      <c r="N20" s="61">
        <f t="shared" si="8"/>
        <v>0</v>
      </c>
      <c r="O20" s="5">
        <v>0.85</v>
      </c>
      <c r="P20" s="49">
        <f t="shared" si="9"/>
        <v>0</v>
      </c>
      <c r="U20" s="62"/>
    </row>
    <row r="21" spans="1:23" x14ac:dyDescent="0.25">
      <c r="A21" s="26">
        <v>5</v>
      </c>
      <c r="B21" s="18"/>
      <c r="C21" s="5"/>
      <c r="D21" s="5"/>
      <c r="E21" s="5"/>
      <c r="F21" s="5">
        <f t="shared" si="5"/>
        <v>0</v>
      </c>
      <c r="G21" s="57">
        <v>108</v>
      </c>
      <c r="H21" s="58">
        <f t="shared" si="6"/>
        <v>0</v>
      </c>
      <c r="I21" s="59"/>
      <c r="J21" s="60"/>
      <c r="K21" s="60"/>
      <c r="L21" s="60">
        <f t="shared" si="7"/>
        <v>0</v>
      </c>
      <c r="M21" s="57">
        <v>195</v>
      </c>
      <c r="N21" s="61">
        <f t="shared" si="8"/>
        <v>0</v>
      </c>
      <c r="O21" s="5">
        <v>0.85</v>
      </c>
      <c r="P21" s="49">
        <f t="shared" si="9"/>
        <v>0</v>
      </c>
    </row>
    <row r="22" spans="1:23" x14ac:dyDescent="0.25">
      <c r="A22" s="26">
        <v>6</v>
      </c>
      <c r="B22" s="18"/>
      <c r="C22" s="5"/>
      <c r="D22" s="5"/>
      <c r="E22" s="5"/>
      <c r="F22" s="5">
        <f t="shared" si="5"/>
        <v>0</v>
      </c>
      <c r="G22" s="57">
        <v>108</v>
      </c>
      <c r="H22" s="58">
        <f t="shared" si="6"/>
        <v>0</v>
      </c>
      <c r="I22" s="59"/>
      <c r="J22" s="60"/>
      <c r="K22" s="60"/>
      <c r="L22" s="60">
        <f t="shared" si="7"/>
        <v>0</v>
      </c>
      <c r="M22" s="57">
        <v>195</v>
      </c>
      <c r="N22" s="61">
        <f t="shared" si="8"/>
        <v>0</v>
      </c>
      <c r="O22" s="5">
        <v>0.85</v>
      </c>
      <c r="P22" s="49">
        <f t="shared" si="9"/>
        <v>0</v>
      </c>
    </row>
    <row r="23" spans="1:23" x14ac:dyDescent="0.25">
      <c r="A23" s="26">
        <v>7</v>
      </c>
      <c r="B23" s="18"/>
      <c r="C23" s="5"/>
      <c r="D23" s="5"/>
      <c r="E23" s="5"/>
      <c r="F23" s="5">
        <f t="shared" si="5"/>
        <v>0</v>
      </c>
      <c r="G23" s="57">
        <v>108</v>
      </c>
      <c r="H23" s="58">
        <f t="shared" si="6"/>
        <v>0</v>
      </c>
      <c r="I23" s="59"/>
      <c r="J23" s="60"/>
      <c r="K23" s="60"/>
      <c r="L23" s="60">
        <f t="shared" si="7"/>
        <v>0</v>
      </c>
      <c r="M23" s="57">
        <v>195</v>
      </c>
      <c r="N23" s="61">
        <f t="shared" si="8"/>
        <v>0</v>
      </c>
      <c r="O23" s="5">
        <v>0.85</v>
      </c>
      <c r="P23" s="49">
        <f t="shared" si="9"/>
        <v>0</v>
      </c>
    </row>
    <row r="24" spans="1:23" x14ac:dyDescent="0.25">
      <c r="A24" s="26">
        <v>8</v>
      </c>
      <c r="B24" s="18"/>
      <c r="C24" s="5"/>
      <c r="D24" s="5"/>
      <c r="E24" s="5"/>
      <c r="F24" s="5">
        <f t="shared" si="5"/>
        <v>0</v>
      </c>
      <c r="G24" s="57">
        <v>108</v>
      </c>
      <c r="H24" s="58">
        <f t="shared" si="6"/>
        <v>0</v>
      </c>
      <c r="I24" s="59"/>
      <c r="J24" s="60"/>
      <c r="K24" s="60"/>
      <c r="L24" s="60">
        <f t="shared" si="7"/>
        <v>0</v>
      </c>
      <c r="M24" s="57">
        <v>195</v>
      </c>
      <c r="N24" s="61">
        <f t="shared" si="8"/>
        <v>0</v>
      </c>
      <c r="O24" s="5">
        <v>0.85</v>
      </c>
      <c r="P24" s="49">
        <f t="shared" si="9"/>
        <v>0</v>
      </c>
    </row>
    <row r="25" spans="1:23" ht="15.75" customHeight="1" x14ac:dyDescent="0.25">
      <c r="A25" s="157" t="s">
        <v>25</v>
      </c>
      <c r="B25" s="158"/>
      <c r="C25" s="158"/>
      <c r="D25" s="158"/>
      <c r="E25" s="161"/>
      <c r="F25" s="8">
        <f>SUM(F17:F24)</f>
        <v>0</v>
      </c>
      <c r="G25" s="162"/>
      <c r="H25" s="64">
        <f>SUM(H17:H24)</f>
        <v>0</v>
      </c>
      <c r="I25" s="164"/>
      <c r="J25" s="165"/>
      <c r="K25" s="166"/>
      <c r="L25" s="65">
        <f>SUM(L17:L24)</f>
        <v>0</v>
      </c>
      <c r="M25" s="170"/>
      <c r="N25" s="66">
        <f>SUM(N17:N24)</f>
        <v>0</v>
      </c>
      <c r="O25" s="172"/>
      <c r="P25" s="67">
        <f>SUM(P17:P24)</f>
        <v>0</v>
      </c>
      <c r="S25" s="22"/>
      <c r="T25" s="22"/>
    </row>
    <row r="26" spans="1:23" s="21" customFormat="1" ht="15.75" customHeight="1" thickBot="1" x14ac:dyDescent="0.3">
      <c r="A26" s="157" t="s">
        <v>13</v>
      </c>
      <c r="B26" s="158"/>
      <c r="C26" s="158"/>
      <c r="D26" s="158"/>
      <c r="E26" s="161"/>
      <c r="F26" s="8">
        <f>F14+F25</f>
        <v>1.1499999999999999</v>
      </c>
      <c r="G26" s="163"/>
      <c r="H26" s="64">
        <f>H14+H25</f>
        <v>0</v>
      </c>
      <c r="I26" s="167"/>
      <c r="J26" s="168"/>
      <c r="K26" s="169"/>
      <c r="L26" s="52">
        <f>L14+L25</f>
        <v>0</v>
      </c>
      <c r="M26" s="171"/>
      <c r="N26" s="68">
        <f>N14+N25</f>
        <v>0</v>
      </c>
      <c r="O26" s="173"/>
      <c r="P26" s="56">
        <f>P14+P25</f>
        <v>0</v>
      </c>
      <c r="S26" s="22"/>
      <c r="T26" s="22"/>
    </row>
    <row r="27" spans="1:23" s="21" customFormat="1" ht="34.5" customHeight="1" thickTop="1" thickBot="1" x14ac:dyDescent="0.3">
      <c r="A27" s="147" t="s">
        <v>23</v>
      </c>
      <c r="B27" s="147"/>
      <c r="C27" s="147"/>
      <c r="D27" s="147"/>
      <c r="E27" s="147"/>
      <c r="F27" s="147"/>
      <c r="G27" s="147"/>
      <c r="H27" s="147"/>
      <c r="I27" s="148"/>
      <c r="J27" s="148"/>
      <c r="K27" s="148"/>
      <c r="L27" s="148"/>
      <c r="M27" s="148"/>
      <c r="N27" s="148"/>
      <c r="O27" s="147"/>
      <c r="P27" s="148"/>
      <c r="S27" s="22"/>
      <c r="T27" s="22"/>
      <c r="U27" s="22"/>
      <c r="V27" s="22"/>
      <c r="W27" s="22"/>
    </row>
    <row r="28" spans="1:23" s="21" customFormat="1" ht="19.5" thickBot="1" x14ac:dyDescent="0.3">
      <c r="A28" s="69" t="s">
        <v>9</v>
      </c>
      <c r="B28" s="69" t="s">
        <v>0</v>
      </c>
      <c r="C28" s="133" t="s">
        <v>28</v>
      </c>
      <c r="D28" s="134"/>
      <c r="E28" s="133" t="s">
        <v>34</v>
      </c>
      <c r="F28" s="134"/>
      <c r="G28" s="135" t="s">
        <v>33</v>
      </c>
      <c r="H28" s="136"/>
      <c r="I28" s="135" t="s">
        <v>29</v>
      </c>
      <c r="J28" s="136"/>
      <c r="K28" s="135" t="s">
        <v>30</v>
      </c>
      <c r="L28" s="136"/>
      <c r="M28" s="135" t="s">
        <v>3</v>
      </c>
      <c r="N28" s="136"/>
      <c r="O28" s="35" t="s">
        <v>19</v>
      </c>
      <c r="P28" s="34" t="s">
        <v>4</v>
      </c>
      <c r="S28" s="22"/>
      <c r="T28" s="22"/>
      <c r="U28" s="22"/>
      <c r="V28" s="22"/>
      <c r="W28" s="22"/>
    </row>
    <row r="29" spans="1:23" s="21" customFormat="1" ht="16.5" thickTop="1" x14ac:dyDescent="0.25">
      <c r="A29" s="13">
        <v>1</v>
      </c>
      <c r="B29" s="14" t="s">
        <v>66</v>
      </c>
      <c r="C29" s="143"/>
      <c r="D29" s="144"/>
      <c r="E29" s="143"/>
      <c r="F29" s="144"/>
      <c r="G29" s="143"/>
      <c r="H29" s="144"/>
      <c r="I29" s="122">
        <f>C29*E29*G29</f>
        <v>0</v>
      </c>
      <c r="J29" s="123"/>
      <c r="K29" s="145"/>
      <c r="L29" s="146"/>
      <c r="M29" s="126">
        <f>K29*I29</f>
        <v>0</v>
      </c>
      <c r="N29" s="127"/>
      <c r="O29" s="5">
        <v>0.85</v>
      </c>
      <c r="P29" s="45">
        <f>M29/O29</f>
        <v>0</v>
      </c>
      <c r="S29" s="22"/>
      <c r="T29" s="22"/>
      <c r="U29" s="22"/>
      <c r="V29" s="22"/>
      <c r="W29" s="22"/>
    </row>
    <row r="30" spans="1:23" s="21" customFormat="1" x14ac:dyDescent="0.25">
      <c r="A30" s="5">
        <v>2</v>
      </c>
      <c r="B30" s="18" t="s">
        <v>67</v>
      </c>
      <c r="C30" s="117"/>
      <c r="D30" s="118"/>
      <c r="E30" s="117"/>
      <c r="F30" s="118"/>
      <c r="G30" s="117"/>
      <c r="H30" s="118"/>
      <c r="I30" s="117">
        <f t="shared" ref="I30:I35" si="10">C30*E30*G30</f>
        <v>0</v>
      </c>
      <c r="J30" s="118"/>
      <c r="K30" s="119"/>
      <c r="L30" s="120"/>
      <c r="M30" s="141">
        <f>K30*I30</f>
        <v>0</v>
      </c>
      <c r="N30" s="142"/>
      <c r="O30" s="5">
        <v>0.85</v>
      </c>
      <c r="P30" s="50">
        <f t="shared" ref="P30:P35" si="11">M30/O30</f>
        <v>0</v>
      </c>
      <c r="S30" s="22"/>
      <c r="T30" s="22"/>
      <c r="U30" s="22"/>
      <c r="V30" s="22"/>
      <c r="W30" s="22"/>
    </row>
    <row r="31" spans="1:23" s="21" customFormat="1" x14ac:dyDescent="0.25">
      <c r="A31" s="5">
        <v>3</v>
      </c>
      <c r="B31" s="18" t="s">
        <v>68</v>
      </c>
      <c r="C31" s="117"/>
      <c r="D31" s="118"/>
      <c r="E31" s="117"/>
      <c r="F31" s="118"/>
      <c r="G31" s="117"/>
      <c r="H31" s="118"/>
      <c r="I31" s="117">
        <f t="shared" si="10"/>
        <v>0</v>
      </c>
      <c r="J31" s="118"/>
      <c r="K31" s="119"/>
      <c r="L31" s="120"/>
      <c r="M31" s="141">
        <f t="shared" ref="M31:M35" si="12">K31*I31</f>
        <v>0</v>
      </c>
      <c r="N31" s="142"/>
      <c r="O31" s="5">
        <v>0.85</v>
      </c>
      <c r="P31" s="50">
        <f t="shared" si="11"/>
        <v>0</v>
      </c>
      <c r="S31" s="22"/>
      <c r="T31" s="22"/>
      <c r="U31" s="22"/>
      <c r="V31" s="22"/>
      <c r="W31" s="22"/>
    </row>
    <row r="32" spans="1:23" s="21" customFormat="1" x14ac:dyDescent="0.25">
      <c r="A32" s="5">
        <v>4</v>
      </c>
      <c r="B32" s="18" t="s">
        <v>69</v>
      </c>
      <c r="C32" s="117"/>
      <c r="D32" s="118"/>
      <c r="E32" s="117"/>
      <c r="F32" s="118"/>
      <c r="G32" s="117"/>
      <c r="H32" s="118"/>
      <c r="I32" s="117">
        <f t="shared" si="10"/>
        <v>0</v>
      </c>
      <c r="J32" s="118"/>
      <c r="K32" s="119"/>
      <c r="L32" s="120"/>
      <c r="M32" s="141">
        <f t="shared" si="12"/>
        <v>0</v>
      </c>
      <c r="N32" s="142"/>
      <c r="O32" s="5">
        <v>0.85</v>
      </c>
      <c r="P32" s="50">
        <f t="shared" si="11"/>
        <v>0</v>
      </c>
      <c r="S32" s="22"/>
      <c r="T32" s="22"/>
      <c r="U32" s="22"/>
      <c r="V32" s="22"/>
      <c r="W32" s="22"/>
    </row>
    <row r="33" spans="1:23" s="21" customFormat="1" x14ac:dyDescent="0.25">
      <c r="A33" s="5">
        <v>5</v>
      </c>
      <c r="B33" s="18" t="s">
        <v>70</v>
      </c>
      <c r="C33" s="117"/>
      <c r="D33" s="118"/>
      <c r="E33" s="117"/>
      <c r="F33" s="118"/>
      <c r="G33" s="117"/>
      <c r="H33" s="118"/>
      <c r="I33" s="117">
        <f t="shared" si="10"/>
        <v>0</v>
      </c>
      <c r="J33" s="118"/>
      <c r="K33" s="119"/>
      <c r="L33" s="120"/>
      <c r="M33" s="141">
        <f t="shared" si="12"/>
        <v>0</v>
      </c>
      <c r="N33" s="142"/>
      <c r="O33" s="5">
        <v>0.85</v>
      </c>
      <c r="P33" s="50">
        <f t="shared" si="11"/>
        <v>0</v>
      </c>
      <c r="S33" s="22"/>
      <c r="T33" s="22"/>
      <c r="U33" s="22"/>
      <c r="V33" s="22"/>
      <c r="W33" s="22"/>
    </row>
    <row r="34" spans="1:23" s="21" customFormat="1" x14ac:dyDescent="0.25">
      <c r="A34" s="5"/>
      <c r="B34" s="18"/>
      <c r="C34" s="117"/>
      <c r="D34" s="118"/>
      <c r="E34" s="117"/>
      <c r="F34" s="118"/>
      <c r="G34" s="117"/>
      <c r="H34" s="118"/>
      <c r="I34" s="117">
        <f t="shared" si="10"/>
        <v>0</v>
      </c>
      <c r="J34" s="118"/>
      <c r="K34" s="119"/>
      <c r="L34" s="120"/>
      <c r="M34" s="141">
        <f t="shared" si="12"/>
        <v>0</v>
      </c>
      <c r="N34" s="142"/>
      <c r="O34" s="5">
        <v>0.85</v>
      </c>
      <c r="P34" s="50">
        <f t="shared" si="11"/>
        <v>0</v>
      </c>
      <c r="S34" s="22"/>
      <c r="T34" s="22"/>
      <c r="U34" s="22"/>
      <c r="V34" s="22"/>
      <c r="W34" s="22"/>
    </row>
    <row r="35" spans="1:23" s="21" customFormat="1" x14ac:dyDescent="0.25">
      <c r="A35" s="5"/>
      <c r="B35" s="18"/>
      <c r="C35" s="117"/>
      <c r="D35" s="118"/>
      <c r="E35" s="117"/>
      <c r="F35" s="118"/>
      <c r="G35" s="117"/>
      <c r="H35" s="118"/>
      <c r="I35" s="137">
        <f t="shared" si="10"/>
        <v>0</v>
      </c>
      <c r="J35" s="138"/>
      <c r="K35" s="119"/>
      <c r="L35" s="120"/>
      <c r="M35" s="139">
        <f t="shared" si="12"/>
        <v>0</v>
      </c>
      <c r="N35" s="140"/>
      <c r="O35" s="5">
        <v>0.85</v>
      </c>
      <c r="P35" s="50">
        <f t="shared" si="11"/>
        <v>0</v>
      </c>
      <c r="S35" s="22"/>
      <c r="T35" s="22"/>
      <c r="U35" s="22"/>
      <c r="V35" s="22"/>
      <c r="W35" s="22"/>
    </row>
    <row r="36" spans="1:23" s="21" customFormat="1" ht="15.75" customHeight="1" thickBot="1" x14ac:dyDescent="0.3">
      <c r="A36" s="128" t="s">
        <v>24</v>
      </c>
      <c r="B36" s="129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56">
        <f>SUM(P29:P35)</f>
        <v>0</v>
      </c>
      <c r="S36" s="22"/>
      <c r="T36" s="22"/>
      <c r="U36" s="22"/>
      <c r="V36" s="22"/>
      <c r="W36" s="22"/>
    </row>
    <row r="37" spans="1:23" ht="34.5" customHeight="1" thickBot="1" x14ac:dyDescent="0.3">
      <c r="A37" s="130" t="s">
        <v>17</v>
      </c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2"/>
      <c r="S37" s="22"/>
      <c r="T37" s="22"/>
      <c r="U37" s="22"/>
      <c r="V37" s="22"/>
      <c r="W37" s="22"/>
    </row>
    <row r="38" spans="1:23" ht="19.5" thickBot="1" x14ac:dyDescent="0.3">
      <c r="A38" s="69" t="s">
        <v>9</v>
      </c>
      <c r="B38" s="69" t="s">
        <v>31</v>
      </c>
      <c r="C38" s="133" t="s">
        <v>28</v>
      </c>
      <c r="D38" s="134"/>
      <c r="E38" s="133" t="s">
        <v>71</v>
      </c>
      <c r="F38" s="134"/>
      <c r="G38" s="135" t="s">
        <v>33</v>
      </c>
      <c r="H38" s="136"/>
      <c r="I38" s="135" t="s">
        <v>29</v>
      </c>
      <c r="J38" s="136"/>
      <c r="K38" s="135" t="s">
        <v>30</v>
      </c>
      <c r="L38" s="136"/>
      <c r="M38" s="135" t="s">
        <v>3</v>
      </c>
      <c r="N38" s="136"/>
      <c r="O38" s="35" t="s">
        <v>19</v>
      </c>
      <c r="P38" s="34" t="s">
        <v>4</v>
      </c>
      <c r="S38" s="22"/>
      <c r="T38" s="22"/>
      <c r="U38" s="22"/>
      <c r="V38" s="22"/>
      <c r="W38" s="22"/>
    </row>
    <row r="39" spans="1:23" ht="16.5" thickTop="1" x14ac:dyDescent="0.25">
      <c r="A39" s="13">
        <v>1</v>
      </c>
      <c r="B39" s="14" t="s">
        <v>72</v>
      </c>
      <c r="C39" s="122"/>
      <c r="D39" s="123"/>
      <c r="E39" s="122"/>
      <c r="F39" s="123"/>
      <c r="G39" s="122"/>
      <c r="H39" s="123"/>
      <c r="I39" s="122">
        <f>G39*E39*C39</f>
        <v>0</v>
      </c>
      <c r="J39" s="123"/>
      <c r="K39" s="124"/>
      <c r="L39" s="125"/>
      <c r="M39" s="126">
        <f>K39*I39</f>
        <v>0</v>
      </c>
      <c r="N39" s="127"/>
      <c r="O39" s="5">
        <v>0.85</v>
      </c>
      <c r="P39" s="70">
        <f>M39/O39</f>
        <v>0</v>
      </c>
      <c r="S39" s="22"/>
      <c r="T39" s="22"/>
      <c r="U39" s="22"/>
      <c r="V39" s="22"/>
      <c r="W39" s="22"/>
    </row>
    <row r="40" spans="1:23" s="22" customFormat="1" x14ac:dyDescent="0.25">
      <c r="A40" s="13">
        <v>2</v>
      </c>
      <c r="B40" s="18" t="s">
        <v>73</v>
      </c>
      <c r="C40" s="117"/>
      <c r="D40" s="118"/>
      <c r="E40" s="117"/>
      <c r="F40" s="118"/>
      <c r="G40" s="117"/>
      <c r="H40" s="118"/>
      <c r="I40" s="117">
        <f t="shared" ref="I40:I61" si="13">G40*E40*C40</f>
        <v>0</v>
      </c>
      <c r="J40" s="118"/>
      <c r="K40" s="119"/>
      <c r="L40" s="120"/>
      <c r="M40" s="141">
        <f t="shared" ref="M40:M57" si="14">K40*I40</f>
        <v>0</v>
      </c>
      <c r="N40" s="142"/>
      <c r="O40" s="5">
        <v>0.85</v>
      </c>
      <c r="P40" s="71">
        <f t="shared" ref="P40:P61" si="15">M40/O40</f>
        <v>0</v>
      </c>
    </row>
    <row r="41" spans="1:23" s="22" customFormat="1" x14ac:dyDescent="0.25">
      <c r="A41" s="13">
        <v>3</v>
      </c>
      <c r="B41" s="18"/>
      <c r="C41" s="117"/>
      <c r="D41" s="118"/>
      <c r="E41" s="117"/>
      <c r="F41" s="118"/>
      <c r="G41" s="117"/>
      <c r="H41" s="118"/>
      <c r="I41" s="117">
        <f t="shared" si="13"/>
        <v>0</v>
      </c>
      <c r="J41" s="118"/>
      <c r="K41" s="119"/>
      <c r="L41" s="120"/>
      <c r="M41" s="141">
        <f t="shared" si="14"/>
        <v>0</v>
      </c>
      <c r="N41" s="142"/>
      <c r="O41" s="5">
        <v>0.85</v>
      </c>
      <c r="P41" s="71">
        <f t="shared" si="15"/>
        <v>0</v>
      </c>
    </row>
    <row r="42" spans="1:23" s="22" customFormat="1" x14ac:dyDescent="0.25">
      <c r="A42" s="13">
        <v>4</v>
      </c>
      <c r="B42" s="18"/>
      <c r="C42" s="117"/>
      <c r="D42" s="118"/>
      <c r="E42" s="117"/>
      <c r="F42" s="118"/>
      <c r="G42" s="117"/>
      <c r="H42" s="118"/>
      <c r="I42" s="117">
        <f t="shared" si="13"/>
        <v>0</v>
      </c>
      <c r="J42" s="118"/>
      <c r="K42" s="119"/>
      <c r="L42" s="120"/>
      <c r="M42" s="141">
        <f t="shared" si="14"/>
        <v>0</v>
      </c>
      <c r="N42" s="142"/>
      <c r="O42" s="5">
        <v>0.85</v>
      </c>
      <c r="P42" s="71">
        <f t="shared" si="15"/>
        <v>0</v>
      </c>
    </row>
    <row r="43" spans="1:23" s="22" customFormat="1" x14ac:dyDescent="0.25">
      <c r="A43" s="13">
        <v>5</v>
      </c>
      <c r="B43" s="18"/>
      <c r="C43" s="117"/>
      <c r="D43" s="118"/>
      <c r="E43" s="117"/>
      <c r="F43" s="118"/>
      <c r="G43" s="117"/>
      <c r="H43" s="118"/>
      <c r="I43" s="117">
        <f t="shared" si="13"/>
        <v>0</v>
      </c>
      <c r="J43" s="118"/>
      <c r="K43" s="119"/>
      <c r="L43" s="120"/>
      <c r="M43" s="141">
        <f t="shared" si="14"/>
        <v>0</v>
      </c>
      <c r="N43" s="142"/>
      <c r="O43" s="5">
        <v>0.85</v>
      </c>
      <c r="P43" s="71">
        <f t="shared" si="15"/>
        <v>0</v>
      </c>
    </row>
    <row r="44" spans="1:23" s="22" customFormat="1" x14ac:dyDescent="0.25">
      <c r="A44" s="13">
        <v>6</v>
      </c>
      <c r="B44" s="18"/>
      <c r="C44" s="117"/>
      <c r="D44" s="118"/>
      <c r="E44" s="117"/>
      <c r="F44" s="118"/>
      <c r="G44" s="117"/>
      <c r="H44" s="118"/>
      <c r="I44" s="117">
        <f t="shared" si="13"/>
        <v>0</v>
      </c>
      <c r="J44" s="118"/>
      <c r="K44" s="119"/>
      <c r="L44" s="120"/>
      <c r="M44" s="141">
        <f t="shared" si="14"/>
        <v>0</v>
      </c>
      <c r="N44" s="142"/>
      <c r="O44" s="5">
        <v>0.85</v>
      </c>
      <c r="P44" s="71">
        <f t="shared" si="15"/>
        <v>0</v>
      </c>
    </row>
    <row r="45" spans="1:23" s="22" customFormat="1" x14ac:dyDescent="0.25">
      <c r="A45" s="13">
        <v>7</v>
      </c>
      <c r="B45" s="18"/>
      <c r="C45" s="117"/>
      <c r="D45" s="118"/>
      <c r="E45" s="117"/>
      <c r="F45" s="118"/>
      <c r="G45" s="117"/>
      <c r="H45" s="118"/>
      <c r="I45" s="117">
        <f t="shared" si="13"/>
        <v>0</v>
      </c>
      <c r="J45" s="118"/>
      <c r="K45" s="119"/>
      <c r="L45" s="120"/>
      <c r="M45" s="141">
        <f t="shared" si="14"/>
        <v>0</v>
      </c>
      <c r="N45" s="142"/>
      <c r="O45" s="5">
        <v>0.85</v>
      </c>
      <c r="P45" s="71">
        <f t="shared" si="15"/>
        <v>0</v>
      </c>
    </row>
    <row r="46" spans="1:23" s="22" customFormat="1" x14ac:dyDescent="0.25">
      <c r="A46" s="13">
        <v>8</v>
      </c>
      <c r="B46" s="18"/>
      <c r="C46" s="117"/>
      <c r="D46" s="118"/>
      <c r="E46" s="117"/>
      <c r="F46" s="118"/>
      <c r="G46" s="117"/>
      <c r="H46" s="118"/>
      <c r="I46" s="117">
        <f t="shared" si="13"/>
        <v>0</v>
      </c>
      <c r="J46" s="118"/>
      <c r="K46" s="119"/>
      <c r="L46" s="120"/>
      <c r="M46" s="141">
        <f t="shared" si="14"/>
        <v>0</v>
      </c>
      <c r="N46" s="142"/>
      <c r="O46" s="5">
        <v>0.85</v>
      </c>
      <c r="P46" s="71">
        <f t="shared" si="15"/>
        <v>0</v>
      </c>
    </row>
    <row r="47" spans="1:23" s="22" customFormat="1" x14ac:dyDescent="0.25">
      <c r="A47" s="13">
        <v>9</v>
      </c>
      <c r="B47" s="18"/>
      <c r="C47" s="117"/>
      <c r="D47" s="118"/>
      <c r="E47" s="117"/>
      <c r="F47" s="118"/>
      <c r="G47" s="117"/>
      <c r="H47" s="118"/>
      <c r="I47" s="117">
        <f t="shared" si="13"/>
        <v>0</v>
      </c>
      <c r="J47" s="118"/>
      <c r="K47" s="119"/>
      <c r="L47" s="120"/>
      <c r="M47" s="141">
        <f t="shared" si="14"/>
        <v>0</v>
      </c>
      <c r="N47" s="142"/>
      <c r="O47" s="5">
        <v>0.85</v>
      </c>
      <c r="P47" s="71">
        <f t="shared" si="15"/>
        <v>0</v>
      </c>
    </row>
    <row r="48" spans="1:23" s="22" customFormat="1" x14ac:dyDescent="0.25">
      <c r="A48" s="13">
        <v>10</v>
      </c>
      <c r="B48" s="18"/>
      <c r="C48" s="117"/>
      <c r="D48" s="118"/>
      <c r="E48" s="117"/>
      <c r="F48" s="118"/>
      <c r="G48" s="117"/>
      <c r="H48" s="118"/>
      <c r="I48" s="117">
        <f t="shared" si="13"/>
        <v>0</v>
      </c>
      <c r="J48" s="118"/>
      <c r="K48" s="119"/>
      <c r="L48" s="120"/>
      <c r="M48" s="141">
        <f t="shared" si="14"/>
        <v>0</v>
      </c>
      <c r="N48" s="142"/>
      <c r="O48" s="5">
        <v>0.85</v>
      </c>
      <c r="P48" s="71">
        <f t="shared" si="15"/>
        <v>0</v>
      </c>
    </row>
    <row r="49" spans="1:23" s="22" customFormat="1" x14ac:dyDescent="0.25">
      <c r="A49" s="13">
        <v>11</v>
      </c>
      <c r="B49" s="18"/>
      <c r="C49" s="117"/>
      <c r="D49" s="118"/>
      <c r="E49" s="117"/>
      <c r="F49" s="118"/>
      <c r="G49" s="117"/>
      <c r="H49" s="118"/>
      <c r="I49" s="117">
        <f t="shared" si="13"/>
        <v>0</v>
      </c>
      <c r="J49" s="118"/>
      <c r="K49" s="119"/>
      <c r="L49" s="120"/>
      <c r="M49" s="141">
        <f t="shared" si="14"/>
        <v>0</v>
      </c>
      <c r="N49" s="142"/>
      <c r="O49" s="5">
        <v>0.85</v>
      </c>
      <c r="P49" s="71">
        <f t="shared" si="15"/>
        <v>0</v>
      </c>
    </row>
    <row r="50" spans="1:23" s="22" customFormat="1" x14ac:dyDescent="0.25">
      <c r="A50" s="13">
        <v>12</v>
      </c>
      <c r="B50" s="18"/>
      <c r="C50" s="117"/>
      <c r="D50" s="118"/>
      <c r="E50" s="117"/>
      <c r="F50" s="118"/>
      <c r="G50" s="117"/>
      <c r="H50" s="118"/>
      <c r="I50" s="117">
        <f t="shared" si="13"/>
        <v>0</v>
      </c>
      <c r="J50" s="118"/>
      <c r="K50" s="119"/>
      <c r="L50" s="120"/>
      <c r="M50" s="141">
        <f t="shared" si="14"/>
        <v>0</v>
      </c>
      <c r="N50" s="142"/>
      <c r="O50" s="5">
        <v>0.85</v>
      </c>
      <c r="P50" s="71">
        <f t="shared" si="15"/>
        <v>0</v>
      </c>
    </row>
    <row r="51" spans="1:23" s="22" customFormat="1" x14ac:dyDescent="0.25">
      <c r="A51" s="13">
        <v>13</v>
      </c>
      <c r="B51" s="18" t="s">
        <v>74</v>
      </c>
      <c r="C51" s="117"/>
      <c r="D51" s="118"/>
      <c r="E51" s="117"/>
      <c r="F51" s="118"/>
      <c r="G51" s="117"/>
      <c r="H51" s="118"/>
      <c r="I51" s="117">
        <f t="shared" si="13"/>
        <v>0</v>
      </c>
      <c r="J51" s="118"/>
      <c r="K51" s="119"/>
      <c r="L51" s="120"/>
      <c r="M51" s="141">
        <f t="shared" si="14"/>
        <v>0</v>
      </c>
      <c r="N51" s="142"/>
      <c r="O51" s="5">
        <v>0.85</v>
      </c>
      <c r="P51" s="71">
        <f t="shared" si="15"/>
        <v>0</v>
      </c>
    </row>
    <row r="52" spans="1:23" s="22" customFormat="1" x14ac:dyDescent="0.25">
      <c r="A52" s="13">
        <v>14</v>
      </c>
      <c r="B52" s="18" t="s">
        <v>75</v>
      </c>
      <c r="C52" s="117"/>
      <c r="D52" s="118"/>
      <c r="E52" s="117"/>
      <c r="F52" s="118"/>
      <c r="G52" s="117"/>
      <c r="H52" s="118"/>
      <c r="I52" s="117">
        <f t="shared" si="13"/>
        <v>0</v>
      </c>
      <c r="J52" s="118"/>
      <c r="K52" s="119"/>
      <c r="L52" s="120"/>
      <c r="M52" s="141">
        <f t="shared" si="14"/>
        <v>0</v>
      </c>
      <c r="N52" s="142"/>
      <c r="O52" s="5">
        <v>0.85</v>
      </c>
      <c r="P52" s="71">
        <f t="shared" si="15"/>
        <v>0</v>
      </c>
    </row>
    <row r="53" spans="1:23" s="22" customFormat="1" x14ac:dyDescent="0.25">
      <c r="A53" s="13">
        <v>15</v>
      </c>
      <c r="B53" s="72" t="s">
        <v>76</v>
      </c>
      <c r="C53" s="117"/>
      <c r="D53" s="118"/>
      <c r="E53" s="117"/>
      <c r="F53" s="118"/>
      <c r="G53" s="117"/>
      <c r="H53" s="118"/>
      <c r="I53" s="117">
        <f t="shared" si="13"/>
        <v>0</v>
      </c>
      <c r="J53" s="118"/>
      <c r="K53" s="119"/>
      <c r="L53" s="120"/>
      <c r="M53" s="141">
        <f t="shared" si="14"/>
        <v>0</v>
      </c>
      <c r="N53" s="142"/>
      <c r="O53" s="5">
        <v>0.85</v>
      </c>
      <c r="P53" s="71">
        <f>M53/O53</f>
        <v>0</v>
      </c>
    </row>
    <row r="54" spans="1:23" s="22" customFormat="1" x14ac:dyDescent="0.25">
      <c r="A54" s="13">
        <v>16</v>
      </c>
      <c r="B54" s="72" t="s">
        <v>77</v>
      </c>
      <c r="C54" s="117"/>
      <c r="D54" s="118"/>
      <c r="E54" s="117"/>
      <c r="F54" s="118"/>
      <c r="G54" s="117"/>
      <c r="H54" s="118"/>
      <c r="I54" s="117">
        <f t="shared" si="13"/>
        <v>0</v>
      </c>
      <c r="J54" s="118"/>
      <c r="K54" s="119"/>
      <c r="L54" s="120"/>
      <c r="M54" s="141">
        <f t="shared" si="14"/>
        <v>0</v>
      </c>
      <c r="N54" s="142"/>
      <c r="O54" s="5">
        <v>0.85</v>
      </c>
      <c r="P54" s="71">
        <f t="shared" si="15"/>
        <v>0</v>
      </c>
    </row>
    <row r="55" spans="1:23" s="22" customFormat="1" x14ac:dyDescent="0.25">
      <c r="A55" s="13">
        <v>17</v>
      </c>
      <c r="B55" s="72" t="s">
        <v>78</v>
      </c>
      <c r="C55" s="117"/>
      <c r="D55" s="118"/>
      <c r="E55" s="117"/>
      <c r="F55" s="118"/>
      <c r="G55" s="117"/>
      <c r="H55" s="118"/>
      <c r="I55" s="117">
        <f t="shared" si="13"/>
        <v>0</v>
      </c>
      <c r="J55" s="118"/>
      <c r="K55" s="119"/>
      <c r="L55" s="120"/>
      <c r="M55" s="141">
        <f t="shared" si="14"/>
        <v>0</v>
      </c>
      <c r="N55" s="142"/>
      <c r="O55" s="5">
        <v>0.85</v>
      </c>
      <c r="P55" s="71">
        <f t="shared" si="15"/>
        <v>0</v>
      </c>
    </row>
    <row r="56" spans="1:23" s="22" customFormat="1" x14ac:dyDescent="0.25">
      <c r="A56" s="13">
        <v>18</v>
      </c>
      <c r="B56" s="72" t="s">
        <v>79</v>
      </c>
      <c r="C56" s="117"/>
      <c r="D56" s="118"/>
      <c r="E56" s="117"/>
      <c r="F56" s="118"/>
      <c r="G56" s="117"/>
      <c r="H56" s="118"/>
      <c r="I56" s="117">
        <f t="shared" si="13"/>
        <v>0</v>
      </c>
      <c r="J56" s="118"/>
      <c r="K56" s="119"/>
      <c r="L56" s="120"/>
      <c r="M56" s="141">
        <f t="shared" si="14"/>
        <v>0</v>
      </c>
      <c r="N56" s="142"/>
      <c r="O56" s="5">
        <v>0.85</v>
      </c>
      <c r="P56" s="71">
        <f t="shared" si="15"/>
        <v>0</v>
      </c>
    </row>
    <row r="57" spans="1:23" s="22" customFormat="1" x14ac:dyDescent="0.25">
      <c r="A57" s="13">
        <v>19</v>
      </c>
      <c r="B57" s="72" t="s">
        <v>80</v>
      </c>
      <c r="C57" s="117"/>
      <c r="D57" s="118"/>
      <c r="E57" s="117"/>
      <c r="F57" s="118"/>
      <c r="G57" s="117"/>
      <c r="H57" s="118"/>
      <c r="I57" s="117">
        <f t="shared" si="13"/>
        <v>0</v>
      </c>
      <c r="J57" s="118"/>
      <c r="K57" s="119"/>
      <c r="L57" s="120"/>
      <c r="M57" s="141">
        <f t="shared" si="14"/>
        <v>0</v>
      </c>
      <c r="N57" s="142"/>
      <c r="O57" s="5">
        <v>0.85</v>
      </c>
      <c r="P57" s="71">
        <f t="shared" si="15"/>
        <v>0</v>
      </c>
    </row>
    <row r="58" spans="1:23" s="22" customFormat="1" ht="31.5" x14ac:dyDescent="0.25">
      <c r="A58" s="13">
        <v>20</v>
      </c>
      <c r="B58" s="72" t="s">
        <v>81</v>
      </c>
      <c r="C58" s="117"/>
      <c r="D58" s="118"/>
      <c r="E58" s="117"/>
      <c r="F58" s="118"/>
      <c r="G58" s="117"/>
      <c r="H58" s="118"/>
      <c r="I58" s="117">
        <f t="shared" si="13"/>
        <v>0</v>
      </c>
      <c r="J58" s="118"/>
      <c r="K58" s="119"/>
      <c r="L58" s="120"/>
      <c r="M58" s="141">
        <f>K58*I58</f>
        <v>0</v>
      </c>
      <c r="N58" s="142"/>
      <c r="O58" s="5">
        <v>0.85</v>
      </c>
      <c r="P58" s="71">
        <f t="shared" si="15"/>
        <v>0</v>
      </c>
    </row>
    <row r="59" spans="1:23" s="22" customFormat="1" x14ac:dyDescent="0.25">
      <c r="A59" s="13">
        <v>27</v>
      </c>
      <c r="B59" s="72" t="s">
        <v>37</v>
      </c>
      <c r="C59" s="117"/>
      <c r="D59" s="118"/>
      <c r="E59" s="117"/>
      <c r="F59" s="118"/>
      <c r="G59" s="117"/>
      <c r="H59" s="118"/>
      <c r="I59" s="117">
        <f t="shared" si="13"/>
        <v>0</v>
      </c>
      <c r="J59" s="118"/>
      <c r="K59" s="119"/>
      <c r="L59" s="120"/>
      <c r="M59" s="121">
        <f>K59*I59</f>
        <v>0</v>
      </c>
      <c r="N59" s="121"/>
      <c r="O59" s="5">
        <v>0.85</v>
      </c>
      <c r="P59" s="71">
        <f>M59/O59</f>
        <v>0</v>
      </c>
    </row>
    <row r="60" spans="1:23" x14ac:dyDescent="0.25">
      <c r="A60" s="13">
        <v>28</v>
      </c>
      <c r="B60" s="18"/>
      <c r="C60" s="117"/>
      <c r="D60" s="118"/>
      <c r="E60" s="117"/>
      <c r="F60" s="118"/>
      <c r="G60" s="117"/>
      <c r="H60" s="118"/>
      <c r="I60" s="117">
        <f t="shared" si="13"/>
        <v>0</v>
      </c>
      <c r="J60" s="118"/>
      <c r="K60" s="119"/>
      <c r="L60" s="120"/>
      <c r="M60" s="121">
        <f t="shared" ref="M60:M61" si="16">K60*I60</f>
        <v>0</v>
      </c>
      <c r="N60" s="121"/>
      <c r="O60" s="5">
        <v>0.85</v>
      </c>
      <c r="P60" s="71">
        <f>M60/O60</f>
        <v>0</v>
      </c>
      <c r="S60" s="22"/>
      <c r="T60" s="22"/>
      <c r="U60" s="22"/>
      <c r="V60" s="22"/>
      <c r="W60" s="22"/>
    </row>
    <row r="61" spans="1:23" x14ac:dyDescent="0.25">
      <c r="A61" s="13">
        <v>29</v>
      </c>
      <c r="B61" s="4"/>
      <c r="C61" s="117"/>
      <c r="D61" s="118"/>
      <c r="E61" s="117"/>
      <c r="F61" s="118"/>
      <c r="G61" s="117"/>
      <c r="H61" s="118"/>
      <c r="I61" s="117">
        <f t="shared" si="13"/>
        <v>0</v>
      </c>
      <c r="J61" s="118"/>
      <c r="K61" s="119"/>
      <c r="L61" s="120"/>
      <c r="M61" s="121">
        <f t="shared" si="16"/>
        <v>0</v>
      </c>
      <c r="N61" s="121"/>
      <c r="O61" s="5">
        <v>0.85</v>
      </c>
      <c r="P61" s="71">
        <f t="shared" si="15"/>
        <v>0</v>
      </c>
      <c r="S61" s="22"/>
      <c r="T61" s="73"/>
      <c r="U61" s="22"/>
      <c r="V61" s="22"/>
      <c r="W61" s="22"/>
    </row>
    <row r="62" spans="1:23" s="21" customFormat="1" ht="16.5" thickBot="1" x14ac:dyDescent="0.3">
      <c r="A62" s="109" t="s">
        <v>16</v>
      </c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74">
        <f>SUM(P39:P61)</f>
        <v>0</v>
      </c>
      <c r="S62" s="22"/>
      <c r="T62" s="22"/>
      <c r="U62" s="22"/>
      <c r="V62" s="22"/>
      <c r="W62" s="22"/>
    </row>
    <row r="63" spans="1:23" ht="16.5" thickTop="1" x14ac:dyDescent="0.25">
      <c r="A63" s="111"/>
      <c r="B63" s="112"/>
      <c r="C63" s="112"/>
      <c r="D63" s="112"/>
      <c r="E63" s="112"/>
      <c r="F63" s="112"/>
      <c r="G63" s="112"/>
      <c r="H63" s="112"/>
      <c r="I63" s="112"/>
      <c r="J63" s="112"/>
      <c r="K63" s="112"/>
      <c r="L63" s="112"/>
      <c r="M63" s="112"/>
      <c r="N63" s="112"/>
      <c r="O63" s="112"/>
      <c r="P63" s="113"/>
      <c r="S63" s="22"/>
      <c r="T63" s="22"/>
      <c r="U63" s="22"/>
      <c r="V63" s="22"/>
      <c r="W63" s="22"/>
    </row>
    <row r="64" spans="1:23" x14ac:dyDescent="0.25">
      <c r="A64" s="114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6"/>
      <c r="S64" s="22"/>
      <c r="T64" s="22"/>
      <c r="U64" s="22"/>
      <c r="V64" s="22"/>
      <c r="W64" s="22"/>
    </row>
    <row r="65" spans="1:23" x14ac:dyDescent="0.25">
      <c r="A65" s="98" t="s">
        <v>14</v>
      </c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100"/>
      <c r="P65" s="75">
        <f>P26+P36+P62</f>
        <v>0</v>
      </c>
      <c r="S65" s="22"/>
      <c r="T65" s="22"/>
      <c r="U65" s="22"/>
      <c r="V65" s="22"/>
      <c r="W65" s="22"/>
    </row>
    <row r="66" spans="1:23" x14ac:dyDescent="0.25">
      <c r="A66" s="98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100"/>
      <c r="S66" s="22"/>
      <c r="T66" s="22"/>
      <c r="U66" s="22"/>
      <c r="V66" s="22"/>
      <c r="W66" s="22"/>
    </row>
    <row r="67" spans="1:23" x14ac:dyDescent="0.25">
      <c r="A67" s="98" t="s">
        <v>15</v>
      </c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100"/>
      <c r="P67" s="75">
        <v>0</v>
      </c>
      <c r="S67" s="22"/>
      <c r="T67" s="22"/>
      <c r="U67" s="22"/>
      <c r="V67" s="22"/>
      <c r="W67" s="22"/>
    </row>
    <row r="68" spans="1:23" x14ac:dyDescent="0.25">
      <c r="A68" s="98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100"/>
      <c r="S68" s="22"/>
      <c r="T68" s="22"/>
      <c r="U68" s="22"/>
      <c r="V68" s="22"/>
      <c r="W68" s="22"/>
    </row>
    <row r="69" spans="1:23" x14ac:dyDescent="0.25">
      <c r="A69" s="103" t="s">
        <v>20</v>
      </c>
      <c r="B69" s="103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75">
        <v>0</v>
      </c>
      <c r="S69" s="22"/>
      <c r="T69" s="22"/>
      <c r="U69" s="22"/>
      <c r="V69" s="22"/>
      <c r="W69" s="22"/>
    </row>
    <row r="70" spans="1:23" x14ac:dyDescent="0.25">
      <c r="A70" s="98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100"/>
      <c r="S70" s="22"/>
      <c r="T70" s="22"/>
      <c r="U70" s="22"/>
      <c r="V70" s="22"/>
      <c r="W70" s="22"/>
    </row>
    <row r="71" spans="1:23" x14ac:dyDescent="0.25">
      <c r="A71" s="104" t="s">
        <v>49</v>
      </c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76">
        <v>0</v>
      </c>
      <c r="S71" s="22"/>
      <c r="T71" s="22"/>
      <c r="U71" s="22"/>
      <c r="V71" s="22"/>
      <c r="W71" s="22"/>
    </row>
    <row r="72" spans="1:23" x14ac:dyDescent="0.25">
      <c r="A72" s="105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7"/>
      <c r="S72" s="22"/>
      <c r="T72" s="22"/>
      <c r="U72" s="22"/>
      <c r="V72" s="22"/>
      <c r="W72" s="22"/>
    </row>
    <row r="73" spans="1:23" x14ac:dyDescent="0.25">
      <c r="A73" s="98" t="s">
        <v>10</v>
      </c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100"/>
      <c r="P73" s="75">
        <f>SUM(P65,P67,P69, P71)</f>
        <v>0</v>
      </c>
      <c r="S73" s="22"/>
      <c r="T73" s="73"/>
      <c r="U73" s="22"/>
      <c r="V73" s="22"/>
      <c r="W73" s="22"/>
    </row>
    <row r="74" spans="1:23" x14ac:dyDescent="0.25">
      <c r="A74" s="98" t="s">
        <v>21</v>
      </c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100"/>
      <c r="P74" s="75">
        <f>P73*0.13</f>
        <v>0</v>
      </c>
    </row>
    <row r="75" spans="1:23" x14ac:dyDescent="0.25">
      <c r="A75" s="98" t="s">
        <v>22</v>
      </c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100"/>
      <c r="P75" s="75">
        <f>P73+P74</f>
        <v>0</v>
      </c>
    </row>
    <row r="76" spans="1:23" x14ac:dyDescent="0.25">
      <c r="A76" s="27" t="s">
        <v>35</v>
      </c>
      <c r="P76" s="29">
        <f>P73*1.13</f>
        <v>0</v>
      </c>
    </row>
    <row r="84" spans="2:11" ht="16.5" thickBot="1" x14ac:dyDescent="0.3"/>
    <row r="85" spans="2:11" ht="32.25" thickBot="1" x14ac:dyDescent="0.3">
      <c r="B85" s="27" t="s">
        <v>91</v>
      </c>
      <c r="C85" s="81" t="s">
        <v>92</v>
      </c>
      <c r="D85" s="93" t="s">
        <v>93</v>
      </c>
      <c r="E85" s="93"/>
      <c r="F85" s="82" t="s">
        <v>94</v>
      </c>
      <c r="G85" s="82" t="s">
        <v>95</v>
      </c>
      <c r="H85" s="83" t="s">
        <v>96</v>
      </c>
      <c r="I85" s="83" t="s">
        <v>97</v>
      </c>
    </row>
    <row r="86" spans="2:11" x14ac:dyDescent="0.25">
      <c r="B86" s="77" t="s">
        <v>98</v>
      </c>
      <c r="C86" s="84">
        <v>98.21</v>
      </c>
      <c r="D86" s="108">
        <f>(C86+17)</f>
        <v>115.21</v>
      </c>
      <c r="E86" s="108"/>
      <c r="F86" s="85">
        <v>196.41</v>
      </c>
      <c r="G86" s="85">
        <f>(F86+17)</f>
        <v>213.41</v>
      </c>
      <c r="H86" s="86">
        <v>112.94</v>
      </c>
      <c r="I86" s="87">
        <f>H86+17</f>
        <v>129.94</v>
      </c>
      <c r="J86" s="63"/>
      <c r="K86" s="63"/>
    </row>
    <row r="87" spans="2:11" x14ac:dyDescent="0.25">
      <c r="B87" s="77" t="s">
        <v>99</v>
      </c>
      <c r="C87" s="88">
        <v>87.65</v>
      </c>
      <c r="D87" s="97">
        <f>(C87+17)</f>
        <v>104.65</v>
      </c>
      <c r="E87" s="97"/>
      <c r="F87" s="89">
        <v>175.31</v>
      </c>
      <c r="G87" s="89">
        <f>(F87+17)</f>
        <v>192.31</v>
      </c>
      <c r="H87" s="90">
        <v>100.8</v>
      </c>
      <c r="I87" s="91">
        <f>H87+17</f>
        <v>117.8</v>
      </c>
      <c r="J87" s="63"/>
      <c r="K87" s="63"/>
    </row>
    <row r="88" spans="2:11" x14ac:dyDescent="0.25">
      <c r="B88" s="77" t="s">
        <v>100</v>
      </c>
      <c r="C88" s="88">
        <v>71.38</v>
      </c>
      <c r="D88" s="97">
        <f t="shared" ref="D88:D92" si="17">(C88+17)</f>
        <v>88.38</v>
      </c>
      <c r="E88" s="97"/>
      <c r="F88" s="89">
        <v>142.72999999999999</v>
      </c>
      <c r="G88" s="89">
        <f t="shared" ref="G88:G92" si="18">(F88+17)</f>
        <v>159.72999999999999</v>
      </c>
      <c r="H88" s="90">
        <v>82.09</v>
      </c>
      <c r="I88" s="91">
        <f t="shared" ref="I88:I92" si="19">H88+17</f>
        <v>99.09</v>
      </c>
      <c r="J88" s="63"/>
      <c r="K88" s="63"/>
    </row>
    <row r="89" spans="2:11" x14ac:dyDescent="0.25">
      <c r="B89" s="77" t="s">
        <v>101</v>
      </c>
      <c r="C89" s="88">
        <v>63.34</v>
      </c>
      <c r="D89" s="97">
        <f t="shared" si="17"/>
        <v>80.34</v>
      </c>
      <c r="E89" s="97"/>
      <c r="F89" s="89">
        <v>126.7</v>
      </c>
      <c r="G89" s="89">
        <f t="shared" si="18"/>
        <v>143.69999999999999</v>
      </c>
      <c r="H89" s="90">
        <v>72.84</v>
      </c>
      <c r="I89" s="91">
        <f t="shared" si="19"/>
        <v>89.84</v>
      </c>
      <c r="J89" s="63"/>
      <c r="K89" s="63"/>
    </row>
    <row r="90" spans="2:11" x14ac:dyDescent="0.25">
      <c r="B90" s="77" t="s">
        <v>102</v>
      </c>
      <c r="C90" s="88">
        <v>55.33</v>
      </c>
      <c r="D90" s="97">
        <f t="shared" si="17"/>
        <v>72.33</v>
      </c>
      <c r="E90" s="97"/>
      <c r="F90" s="89">
        <v>110.64</v>
      </c>
      <c r="G90" s="89">
        <f t="shared" si="18"/>
        <v>127.64</v>
      </c>
      <c r="H90" s="90">
        <v>63.63</v>
      </c>
      <c r="I90" s="91">
        <f t="shared" si="19"/>
        <v>80.63</v>
      </c>
      <c r="J90" s="63"/>
      <c r="K90" s="63"/>
    </row>
    <row r="91" spans="2:11" x14ac:dyDescent="0.25">
      <c r="B91" s="77" t="s">
        <v>103</v>
      </c>
      <c r="C91" s="88">
        <v>47.3</v>
      </c>
      <c r="D91" s="97">
        <f t="shared" si="17"/>
        <v>64.3</v>
      </c>
      <c r="E91" s="97"/>
      <c r="F91" s="89">
        <v>94.59</v>
      </c>
      <c r="G91" s="89">
        <f t="shared" si="18"/>
        <v>111.59</v>
      </c>
      <c r="H91" s="90">
        <v>54.4</v>
      </c>
      <c r="I91" s="91">
        <f t="shared" si="19"/>
        <v>71.400000000000006</v>
      </c>
      <c r="J91" s="63"/>
      <c r="K91" s="63"/>
    </row>
    <row r="92" spans="2:11" x14ac:dyDescent="0.25">
      <c r="B92" s="77" t="s">
        <v>104</v>
      </c>
      <c r="C92" s="88">
        <v>39.25</v>
      </c>
      <c r="D92" s="97">
        <f t="shared" si="17"/>
        <v>56.25</v>
      </c>
      <c r="E92" s="97"/>
      <c r="F92" s="89">
        <v>78.489999999999995</v>
      </c>
      <c r="G92" s="89">
        <f t="shared" si="18"/>
        <v>95.49</v>
      </c>
      <c r="H92" s="90">
        <v>45.14</v>
      </c>
      <c r="I92" s="91">
        <f t="shared" si="19"/>
        <v>62.14</v>
      </c>
      <c r="J92" s="63"/>
      <c r="K92" s="63"/>
    </row>
    <row r="93" spans="2:11" ht="16.5" thickBot="1" x14ac:dyDescent="0.3">
      <c r="D93" s="101"/>
      <c r="E93" s="102"/>
    </row>
    <row r="94" spans="2:11" ht="32.25" thickBot="1" x14ac:dyDescent="0.3">
      <c r="B94" s="27" t="s">
        <v>105</v>
      </c>
      <c r="C94" s="81" t="s">
        <v>92</v>
      </c>
      <c r="D94" s="93" t="s">
        <v>93</v>
      </c>
      <c r="E94" s="93"/>
      <c r="F94" s="82" t="s">
        <v>94</v>
      </c>
      <c r="G94" s="82" t="s">
        <v>95</v>
      </c>
      <c r="H94" s="83" t="s">
        <v>96</v>
      </c>
      <c r="I94" s="83" t="s">
        <v>97</v>
      </c>
      <c r="K94" s="33" t="s">
        <v>19</v>
      </c>
    </row>
    <row r="95" spans="2:11" x14ac:dyDescent="0.25">
      <c r="B95" s="77" t="s">
        <v>98</v>
      </c>
      <c r="C95" s="92">
        <f>C86/$K$95</f>
        <v>122.76249999999999</v>
      </c>
      <c r="D95" s="94">
        <f>D86/$K$95</f>
        <v>144.01249999999999</v>
      </c>
      <c r="E95" s="95"/>
      <c r="F95" s="92">
        <f>F86/$K$95</f>
        <v>245.51249999999999</v>
      </c>
      <c r="G95" s="92">
        <f>G86/$K$95</f>
        <v>266.76249999999999</v>
      </c>
      <c r="H95" s="92">
        <f>H86/$K$95</f>
        <v>141.17499999999998</v>
      </c>
      <c r="I95" s="92">
        <f>I86/$K$95</f>
        <v>162.42499999999998</v>
      </c>
      <c r="K95" s="5">
        <v>0.8</v>
      </c>
    </row>
    <row r="96" spans="2:11" x14ac:dyDescent="0.25">
      <c r="B96" s="77" t="s">
        <v>99</v>
      </c>
      <c r="C96" s="92">
        <f t="shared" ref="C96:D101" si="20">C87/$K$95</f>
        <v>109.5625</v>
      </c>
      <c r="D96" s="97">
        <f t="shared" si="20"/>
        <v>130.8125</v>
      </c>
      <c r="E96" s="97"/>
      <c r="F96" s="92">
        <f t="shared" ref="F96:I101" si="21">F87/$K$95</f>
        <v>219.13749999999999</v>
      </c>
      <c r="G96" s="92">
        <f t="shared" si="21"/>
        <v>240.38749999999999</v>
      </c>
      <c r="H96" s="92">
        <f t="shared" si="21"/>
        <v>125.99999999999999</v>
      </c>
      <c r="I96" s="92">
        <f t="shared" si="21"/>
        <v>147.25</v>
      </c>
    </row>
    <row r="97" spans="2:9" x14ac:dyDescent="0.25">
      <c r="B97" s="77" t="s">
        <v>100</v>
      </c>
      <c r="C97" s="92">
        <f t="shared" si="20"/>
        <v>89.224999999999994</v>
      </c>
      <c r="D97" s="97">
        <f t="shared" si="20"/>
        <v>110.47499999999999</v>
      </c>
      <c r="E97" s="97"/>
      <c r="F97" s="92">
        <f t="shared" si="21"/>
        <v>178.41249999999997</v>
      </c>
      <c r="G97" s="92">
        <f t="shared" si="21"/>
        <v>199.66249999999997</v>
      </c>
      <c r="H97" s="92">
        <f t="shared" si="21"/>
        <v>102.6125</v>
      </c>
      <c r="I97" s="92">
        <f t="shared" si="21"/>
        <v>123.8625</v>
      </c>
    </row>
    <row r="98" spans="2:9" x14ac:dyDescent="0.25">
      <c r="B98" s="77" t="s">
        <v>101</v>
      </c>
      <c r="C98" s="92">
        <f t="shared" si="20"/>
        <v>79.174999999999997</v>
      </c>
      <c r="D98" s="97">
        <f t="shared" si="20"/>
        <v>100.425</v>
      </c>
      <c r="E98" s="97"/>
      <c r="F98" s="92">
        <f t="shared" si="21"/>
        <v>158.375</v>
      </c>
      <c r="G98" s="92">
        <f t="shared" si="21"/>
        <v>179.62499999999997</v>
      </c>
      <c r="H98" s="92">
        <f t="shared" si="21"/>
        <v>91.05</v>
      </c>
      <c r="I98" s="92">
        <f t="shared" si="21"/>
        <v>112.3</v>
      </c>
    </row>
    <row r="99" spans="2:9" x14ac:dyDescent="0.25">
      <c r="B99" s="77" t="s">
        <v>102</v>
      </c>
      <c r="C99" s="92">
        <f t="shared" si="20"/>
        <v>69.162499999999994</v>
      </c>
      <c r="D99" s="97">
        <f t="shared" si="20"/>
        <v>90.412499999999994</v>
      </c>
      <c r="E99" s="97"/>
      <c r="F99" s="92">
        <f t="shared" si="21"/>
        <v>138.29999999999998</v>
      </c>
      <c r="G99" s="92">
        <f t="shared" si="21"/>
        <v>159.54999999999998</v>
      </c>
      <c r="H99" s="92">
        <f t="shared" si="21"/>
        <v>79.537499999999994</v>
      </c>
      <c r="I99" s="92">
        <f t="shared" si="21"/>
        <v>100.78749999999999</v>
      </c>
    </row>
    <row r="100" spans="2:9" x14ac:dyDescent="0.25">
      <c r="B100" s="77" t="s">
        <v>103</v>
      </c>
      <c r="C100" s="92">
        <f t="shared" si="20"/>
        <v>59.124999999999993</v>
      </c>
      <c r="D100" s="97">
        <f t="shared" si="20"/>
        <v>80.374999999999986</v>
      </c>
      <c r="E100" s="97"/>
      <c r="F100" s="92">
        <f t="shared" si="21"/>
        <v>118.2375</v>
      </c>
      <c r="G100" s="92">
        <f t="shared" si="21"/>
        <v>139.48749999999998</v>
      </c>
      <c r="H100" s="92">
        <f t="shared" si="21"/>
        <v>68</v>
      </c>
      <c r="I100" s="92">
        <f t="shared" si="21"/>
        <v>89.25</v>
      </c>
    </row>
    <row r="101" spans="2:9" x14ac:dyDescent="0.25">
      <c r="B101" s="77" t="s">
        <v>104</v>
      </c>
      <c r="C101" s="92">
        <f t="shared" si="20"/>
        <v>49.0625</v>
      </c>
      <c r="D101" s="97">
        <f t="shared" si="20"/>
        <v>70.3125</v>
      </c>
      <c r="E101" s="97"/>
      <c r="F101" s="92">
        <f t="shared" si="21"/>
        <v>98.112499999999983</v>
      </c>
      <c r="G101" s="92">
        <f t="shared" si="21"/>
        <v>119.36249999999998</v>
      </c>
      <c r="H101" s="92">
        <f t="shared" si="21"/>
        <v>56.424999999999997</v>
      </c>
      <c r="I101" s="92">
        <f t="shared" si="21"/>
        <v>77.674999999999997</v>
      </c>
    </row>
    <row r="102" spans="2:9" x14ac:dyDescent="0.25">
      <c r="D102" s="96"/>
      <c r="E102" s="96"/>
    </row>
    <row r="103" spans="2:9" x14ac:dyDescent="0.25">
      <c r="D103" s="96"/>
      <c r="E103" s="96"/>
    </row>
    <row r="104" spans="2:9" x14ac:dyDescent="0.25">
      <c r="B104" s="27" t="s">
        <v>106</v>
      </c>
      <c r="C104" s="27" t="s">
        <v>107</v>
      </c>
    </row>
    <row r="105" spans="2:9" x14ac:dyDescent="0.25">
      <c r="B105" s="27" t="s">
        <v>108</v>
      </c>
      <c r="C105" s="27">
        <v>8.6999999999999993</v>
      </c>
      <c r="G105" s="96">
        <v>2500000</v>
      </c>
      <c r="H105" s="96"/>
      <c r="I105" s="63">
        <f>G105/1000*C105</f>
        <v>21750</v>
      </c>
    </row>
    <row r="106" spans="2:9" x14ac:dyDescent="0.25">
      <c r="B106" s="27" t="s">
        <v>109</v>
      </c>
      <c r="C106" s="27">
        <v>7.9</v>
      </c>
      <c r="G106" s="96">
        <v>2500000</v>
      </c>
      <c r="H106" s="96"/>
      <c r="I106" s="63">
        <f>G106/1000*C106</f>
        <v>19750</v>
      </c>
    </row>
    <row r="107" spans="2:9" x14ac:dyDescent="0.25">
      <c r="B107" s="27" t="s">
        <v>110</v>
      </c>
      <c r="C107" s="27">
        <v>6.95</v>
      </c>
      <c r="G107" s="96">
        <v>2500000</v>
      </c>
      <c r="H107" s="96"/>
      <c r="I107" s="63">
        <f>G107/1000*C107</f>
        <v>17375</v>
      </c>
    </row>
    <row r="108" spans="2:9" x14ac:dyDescent="0.25">
      <c r="B108" s="27" t="s">
        <v>111</v>
      </c>
      <c r="I108" s="63">
        <f>I105+I106+I107</f>
        <v>58875</v>
      </c>
    </row>
    <row r="109" spans="2:9" x14ac:dyDescent="0.25">
      <c r="B109" s="27" t="s">
        <v>112</v>
      </c>
      <c r="C109" s="27">
        <v>12</v>
      </c>
      <c r="I109" s="63">
        <f>I108*C109*0.01</f>
        <v>7065</v>
      </c>
    </row>
    <row r="110" spans="2:9" x14ac:dyDescent="0.25">
      <c r="B110" s="27" t="s">
        <v>113</v>
      </c>
      <c r="I110" s="63">
        <f>I108+I109</f>
        <v>65940</v>
      </c>
    </row>
    <row r="111" spans="2:9" x14ac:dyDescent="0.25">
      <c r="B111" s="27" t="s">
        <v>114</v>
      </c>
      <c r="I111" s="63">
        <f>I110/0.9</f>
        <v>73266.666666666672</v>
      </c>
    </row>
    <row r="114" spans="6:7" x14ac:dyDescent="0.25">
      <c r="F114" s="21"/>
      <c r="G114" s="21"/>
    </row>
    <row r="115" spans="6:7" x14ac:dyDescent="0.25">
      <c r="F115" s="21"/>
      <c r="G115" s="77"/>
    </row>
    <row r="116" spans="6:7" x14ac:dyDescent="0.25">
      <c r="F116" s="21"/>
      <c r="G116" s="77"/>
    </row>
    <row r="117" spans="6:7" x14ac:dyDescent="0.25">
      <c r="F117" s="21"/>
      <c r="G117" s="77"/>
    </row>
    <row r="118" spans="6:7" x14ac:dyDescent="0.25">
      <c r="F118" s="21"/>
      <c r="G118" s="77"/>
    </row>
    <row r="119" spans="6:7" x14ac:dyDescent="0.25">
      <c r="F119" s="21"/>
      <c r="G119" s="77"/>
    </row>
  </sheetData>
  <mergeCells count="249">
    <mergeCell ref="G105:H105"/>
    <mergeCell ref="G106:H106"/>
    <mergeCell ref="G107:H107"/>
    <mergeCell ref="D100:E100"/>
    <mergeCell ref="D101:E101"/>
    <mergeCell ref="D102:E102"/>
    <mergeCell ref="D103:E103"/>
    <mergeCell ref="D90:E90"/>
    <mergeCell ref="D91:E91"/>
    <mergeCell ref="D98:E98"/>
    <mergeCell ref="D99:E99"/>
    <mergeCell ref="D92:E92"/>
    <mergeCell ref="D93:E93"/>
    <mergeCell ref="D94:E94"/>
    <mergeCell ref="D95:E95"/>
    <mergeCell ref="D96:E96"/>
    <mergeCell ref="D97:E97"/>
    <mergeCell ref="A75:O75"/>
    <mergeCell ref="D87:E87"/>
    <mergeCell ref="D88:E88"/>
    <mergeCell ref="D89:E89"/>
    <mergeCell ref="A69:O69"/>
    <mergeCell ref="A70:P70"/>
    <mergeCell ref="A71:O71"/>
    <mergeCell ref="A72:P72"/>
    <mergeCell ref="A73:O73"/>
    <mergeCell ref="A74:O74"/>
    <mergeCell ref="D85:E85"/>
    <mergeCell ref="D86:E86"/>
    <mergeCell ref="A62:O62"/>
    <mergeCell ref="A63:P64"/>
    <mergeCell ref="A65:O65"/>
    <mergeCell ref="A66:P66"/>
    <mergeCell ref="A67:O67"/>
    <mergeCell ref="A68:P68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M59:N59"/>
    <mergeCell ref="C58:D58"/>
    <mergeCell ref="E58:F58"/>
    <mergeCell ref="G58:H58"/>
    <mergeCell ref="I58:J58"/>
    <mergeCell ref="K58:L58"/>
    <mergeCell ref="M58:N58"/>
    <mergeCell ref="C57:D57"/>
    <mergeCell ref="E57:F57"/>
    <mergeCell ref="G57:H57"/>
    <mergeCell ref="I57:J57"/>
    <mergeCell ref="K57:L57"/>
    <mergeCell ref="M57:N57"/>
    <mergeCell ref="C56:D56"/>
    <mergeCell ref="E56:F56"/>
    <mergeCell ref="G56:H56"/>
    <mergeCell ref="I56:J56"/>
    <mergeCell ref="K56:L56"/>
    <mergeCell ref="M56:N56"/>
    <mergeCell ref="C55:D55"/>
    <mergeCell ref="E55:F55"/>
    <mergeCell ref="G55:H55"/>
    <mergeCell ref="I55:J55"/>
    <mergeCell ref="K55:L55"/>
    <mergeCell ref="M55:N55"/>
    <mergeCell ref="C54:D54"/>
    <mergeCell ref="E54:F54"/>
    <mergeCell ref="G54:H54"/>
    <mergeCell ref="I54:J54"/>
    <mergeCell ref="K54:L54"/>
    <mergeCell ref="M54:N54"/>
    <mergeCell ref="C53:D53"/>
    <mergeCell ref="E53:F53"/>
    <mergeCell ref="G53:H53"/>
    <mergeCell ref="I53:J53"/>
    <mergeCell ref="K53:L53"/>
    <mergeCell ref="M53:N53"/>
    <mergeCell ref="C52:D52"/>
    <mergeCell ref="E52:F52"/>
    <mergeCell ref="G52:H52"/>
    <mergeCell ref="I52:J52"/>
    <mergeCell ref="K52:L52"/>
    <mergeCell ref="M52:N52"/>
    <mergeCell ref="C51:D51"/>
    <mergeCell ref="E51:F51"/>
    <mergeCell ref="G51:H51"/>
    <mergeCell ref="I51:J51"/>
    <mergeCell ref="K51:L51"/>
    <mergeCell ref="M51:N51"/>
    <mergeCell ref="C50:D50"/>
    <mergeCell ref="E50:F50"/>
    <mergeCell ref="G50:H50"/>
    <mergeCell ref="I50:J50"/>
    <mergeCell ref="K50:L50"/>
    <mergeCell ref="M50:N50"/>
    <mergeCell ref="C49:D49"/>
    <mergeCell ref="E49:F49"/>
    <mergeCell ref="G49:H49"/>
    <mergeCell ref="I49:J49"/>
    <mergeCell ref="K49:L49"/>
    <mergeCell ref="M49:N49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M46:N46"/>
    <mergeCell ref="C45:D45"/>
    <mergeCell ref="E45:F45"/>
    <mergeCell ref="G45:H45"/>
    <mergeCell ref="I45:J45"/>
    <mergeCell ref="K45:L45"/>
    <mergeCell ref="M45:N45"/>
    <mergeCell ref="C44:D44"/>
    <mergeCell ref="E44:F44"/>
    <mergeCell ref="G44:H44"/>
    <mergeCell ref="I44:J44"/>
    <mergeCell ref="K44:L44"/>
    <mergeCell ref="M44:N44"/>
    <mergeCell ref="C43:D43"/>
    <mergeCell ref="E43:F43"/>
    <mergeCell ref="G43:H43"/>
    <mergeCell ref="I43:J43"/>
    <mergeCell ref="K43:L43"/>
    <mergeCell ref="M43:N43"/>
    <mergeCell ref="C42:D42"/>
    <mergeCell ref="E42:F42"/>
    <mergeCell ref="G42:H42"/>
    <mergeCell ref="I42:J42"/>
    <mergeCell ref="K42:L42"/>
    <mergeCell ref="M42:N42"/>
    <mergeCell ref="C41:D41"/>
    <mergeCell ref="E41:F41"/>
    <mergeCell ref="G41:H41"/>
    <mergeCell ref="I41:J41"/>
    <mergeCell ref="K41:L41"/>
    <mergeCell ref="M41:N41"/>
    <mergeCell ref="C40:D40"/>
    <mergeCell ref="E40:F40"/>
    <mergeCell ref="G40:H40"/>
    <mergeCell ref="I40:J40"/>
    <mergeCell ref="K40:L40"/>
    <mergeCell ref="M40:N40"/>
    <mergeCell ref="C39:D39"/>
    <mergeCell ref="E39:F39"/>
    <mergeCell ref="G39:H39"/>
    <mergeCell ref="I39:J39"/>
    <mergeCell ref="K39:L39"/>
    <mergeCell ref="M39:N39"/>
    <mergeCell ref="A36:O36"/>
    <mergeCell ref="A37:P37"/>
    <mergeCell ref="C38:D38"/>
    <mergeCell ref="E38:F38"/>
    <mergeCell ref="G38:H38"/>
    <mergeCell ref="I38:J38"/>
    <mergeCell ref="K38:L38"/>
    <mergeCell ref="M38:N38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M34:N34"/>
    <mergeCell ref="C33:D33"/>
    <mergeCell ref="E33:F33"/>
    <mergeCell ref="G33:H33"/>
    <mergeCell ref="I33:J33"/>
    <mergeCell ref="K33:L33"/>
    <mergeCell ref="M33:N33"/>
    <mergeCell ref="C32:D32"/>
    <mergeCell ref="E32:F32"/>
    <mergeCell ref="G32:H32"/>
    <mergeCell ref="I32:J32"/>
    <mergeCell ref="K32:L32"/>
    <mergeCell ref="M32:N32"/>
    <mergeCell ref="C31:D31"/>
    <mergeCell ref="E31:F31"/>
    <mergeCell ref="G31:H31"/>
    <mergeCell ref="I31:J31"/>
    <mergeCell ref="K31:L31"/>
    <mergeCell ref="M31:N31"/>
    <mergeCell ref="C30:D30"/>
    <mergeCell ref="E30:F30"/>
    <mergeCell ref="G30:H30"/>
    <mergeCell ref="I30:J30"/>
    <mergeCell ref="K30:L30"/>
    <mergeCell ref="M30:N30"/>
    <mergeCell ref="C29:D29"/>
    <mergeCell ref="E29:F29"/>
    <mergeCell ref="G29:H29"/>
    <mergeCell ref="I29:J29"/>
    <mergeCell ref="K29:L29"/>
    <mergeCell ref="M29:N29"/>
    <mergeCell ref="A27:P27"/>
    <mergeCell ref="C28:D28"/>
    <mergeCell ref="E28:F28"/>
    <mergeCell ref="G28:H28"/>
    <mergeCell ref="I28:J28"/>
    <mergeCell ref="K28:L28"/>
    <mergeCell ref="M28:N28"/>
    <mergeCell ref="A6:P6"/>
    <mergeCell ref="A14:E14"/>
    <mergeCell ref="I14:K14"/>
    <mergeCell ref="A15:P15"/>
    <mergeCell ref="A16:P16"/>
    <mergeCell ref="A25:E25"/>
    <mergeCell ref="G25:G26"/>
    <mergeCell ref="I25:K26"/>
    <mergeCell ref="M25:M26"/>
    <mergeCell ref="O25:O26"/>
    <mergeCell ref="A1:P2"/>
    <mergeCell ref="A3:P3"/>
    <mergeCell ref="A4:A5"/>
    <mergeCell ref="B4:B5"/>
    <mergeCell ref="C4:H4"/>
    <mergeCell ref="I4:N4"/>
    <mergeCell ref="O4:O5"/>
    <mergeCell ref="P4:P5"/>
    <mergeCell ref="A26:E26"/>
  </mergeCells>
  <dataValidations count="1">
    <dataValidation type="list" allowBlank="1" showInputMessage="1" showErrorMessage="1" sqref="O7:O13 O17:O24 O29:O35 O39:O61 K95" xr:uid="{F418F14D-FCD1-4C94-9BD1-8C4C86E77107}">
      <formula1>"1,.95,.94,.93,.92,.91,.9,.89,.88,.87,.86,.85,.84,.83,.82,.81,.8,.79,.78,.77,.76,.75,.74,.73,.72,.71,.7,.66"</formula1>
    </dataValidation>
  </dataValidations>
  <printOptions horizontalCentered="1" verticalCentered="1"/>
  <pageMargins left="0.45" right="0.45" top="0.75" bottom="0.75" header="0.3" footer="0.3"/>
  <pageSetup paperSize="17" scale="72" fitToHeight="0" orientation="portrait" horizontalDpi="300" verticalDpi="300" r:id="rId1"/>
  <colBreaks count="1" manualBreakCount="1">
    <brk id="16" max="83" man="1"/>
  </colBreaks>
</worksheet>
</file>

<file path=docMetadata/LabelInfo.xml><?xml version="1.0" encoding="utf-8"?>
<clbl:labelList xmlns:clbl="http://schemas.microsoft.com/office/2020/mipLabelMetadata">
  <clbl:label id="{741cbb67-17cf-4249-afd4-de96c5f3cbfc}" enabled="0" method="" siteId="{741cbb67-17cf-4249-afd4-de96c5f3cbf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16</vt:i4>
      </vt:variant>
    </vt:vector>
  </HeadingPairs>
  <TitlesOfParts>
    <vt:vector size="24" baseType="lpstr">
      <vt:lpstr>Cost Summary</vt:lpstr>
      <vt:lpstr>Location 1</vt:lpstr>
      <vt:lpstr>Location 2</vt:lpstr>
      <vt:lpstr>Location 3</vt:lpstr>
      <vt:lpstr>Location 4</vt:lpstr>
      <vt:lpstr>Location 5</vt:lpstr>
      <vt:lpstr>Location 6</vt:lpstr>
      <vt:lpstr>Option 1</vt:lpstr>
      <vt:lpstr>'Location 1'!Costing_Sheet_Multiple_Location.2023.xlsx</vt:lpstr>
      <vt:lpstr>'Location 2'!Costing_Sheet_Multiple_Location.2023.xlsx</vt:lpstr>
      <vt:lpstr>'Location 3'!Costing_Sheet_Multiple_Location.2023.xlsx</vt:lpstr>
      <vt:lpstr>'Location 4'!Costing_Sheet_Multiple_Location.2023.xlsx</vt:lpstr>
      <vt:lpstr>'Location 5'!Costing_Sheet_Multiple_Location.2023.xlsx</vt:lpstr>
      <vt:lpstr>'Location 6'!Costing_Sheet_Multiple_Location.2023.xlsx</vt:lpstr>
      <vt:lpstr>'Option 1'!Costing_Sheet_Multiple_Location.2023.xlsx</vt:lpstr>
      <vt:lpstr>p</vt:lpstr>
      <vt:lpstr>'Cost Summary'!Print_Area</vt:lpstr>
      <vt:lpstr>'Location 1'!Print_Area</vt:lpstr>
      <vt:lpstr>'Location 2'!Print_Area</vt:lpstr>
      <vt:lpstr>'Location 3'!Print_Area</vt:lpstr>
      <vt:lpstr>'Location 4'!Print_Area</vt:lpstr>
      <vt:lpstr>'Location 5'!Print_Area</vt:lpstr>
      <vt:lpstr>'Location 6'!Print_Area</vt:lpstr>
      <vt:lpstr>'Option 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Riaboy</dc:creator>
  <cp:lastModifiedBy>Eric Riaboy</cp:lastModifiedBy>
  <cp:lastPrinted>2018-03-13T19:49:47Z</cp:lastPrinted>
  <dcterms:created xsi:type="dcterms:W3CDTF">2010-08-27T19:16:32Z</dcterms:created>
  <dcterms:modified xsi:type="dcterms:W3CDTF">2026-06-17T18:45:02Z</dcterms:modified>
</cp:coreProperties>
</file>