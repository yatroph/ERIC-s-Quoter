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icing" sheetId="1" state="visible" r:id="rId1"/>
    <sheet name="Multi Year Contract Pricing" sheetId="2" state="visible" r:id="rId2"/>
  </sheets>
  <definedNames>
    <definedName name="_xlnm.Print_Area" localSheetId="0">'Pricing'!$A$1:$P$51</definedName>
    <definedName name="_xlnm.Print_Area" localSheetId="1">'Multi Year Contract Pricing'!$A$1:$P$66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-&quot;$&quot;* #,##0.00_-;\-&quot;$&quot;* #,##0.00_-;_-&quot;$&quot;* &quot;-&quot;??_-;_-@_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70C0"/>
      <sz val="12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Calibri"/>
      <family val="2"/>
      <b val="1"/>
      <color rgb="FFFF0000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08">
    <xf numFmtId="0" fontId="0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5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0" borderId="1" applyAlignment="1" pivotButton="0" quotePrefix="1" xfId="0">
      <alignment horizontal="left" vertical="center" wrapText="1"/>
    </xf>
    <xf numFmtId="165" fontId="2" fillId="0" borderId="0" applyAlignment="1" pivotButton="0" quotePrefix="0" xfId="0">
      <alignment vertical="center"/>
    </xf>
    <xf numFmtId="4" fontId="9" fillId="0" borderId="0" pivotButton="0" quotePrefix="0" xfId="0"/>
    <xf numFmtId="164" fontId="5" fillId="2" borderId="8" applyAlignment="1" pivotButton="0" quotePrefix="0" xfId="1">
      <alignment horizontal="center" vertical="center" wrapText="1"/>
    </xf>
    <xf numFmtId="164" fontId="5" fillId="2" borderId="1" applyAlignment="1" pivotButton="0" quotePrefix="0" xfId="1">
      <alignment horizontal="center" vertical="center" wrapText="1"/>
    </xf>
    <xf numFmtId="164" fontId="7" fillId="4" borderId="1" applyAlignment="1" pivotButton="0" quotePrefix="0" xfId="0">
      <alignment vertical="center"/>
    </xf>
    <xf numFmtId="164" fontId="7" fillId="5" borderId="4" applyAlignment="1" pivotButton="0" quotePrefix="0" xfId="0">
      <alignment vertical="center"/>
    </xf>
    <xf numFmtId="0" fontId="5" fillId="2" borderId="8" applyAlignment="1" pivotButton="0" quotePrefix="0" xfId="1">
      <alignment horizontal="center" vertical="center" wrapText="1"/>
    </xf>
    <xf numFmtId="0" fontId="5" fillId="2" borderId="1" applyAlignment="1" pivotButton="0" quotePrefix="0" xfId="1">
      <alignment horizontal="center" vertical="center" wrapText="1"/>
    </xf>
    <xf numFmtId="164" fontId="5" fillId="0" borderId="31" applyAlignment="1" pivotButton="0" quotePrefix="0" xfId="1">
      <alignment horizontal="center" vertical="center" wrapText="1"/>
    </xf>
    <xf numFmtId="164" fontId="5" fillId="0" borderId="32" applyAlignment="1" pivotButton="0" quotePrefix="0" xfId="1">
      <alignment horizontal="center" vertical="center" wrapText="1"/>
    </xf>
    <xf numFmtId="164" fontId="4" fillId="0" borderId="33" applyAlignment="1" pivotButton="0" quotePrefix="0" xfId="0">
      <alignment horizontal="center" vertical="center" wrapText="1"/>
    </xf>
    <xf numFmtId="164" fontId="5" fillId="0" borderId="33" applyAlignment="1" pivotButton="0" quotePrefix="0" xfId="1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164" fontId="5" fillId="4" borderId="35" applyAlignment="1" pivotButton="0" quotePrefix="0" xfId="1">
      <alignment horizontal="center" vertical="center" wrapText="1"/>
    </xf>
    <xf numFmtId="164" fontId="5" fillId="4" borderId="36" applyAlignment="1" pivotButton="0" quotePrefix="0" xfId="1">
      <alignment horizontal="center" vertical="center" wrapText="1"/>
    </xf>
    <xf numFmtId="164" fontId="4" fillId="4" borderId="37" applyAlignment="1" pivotButton="0" quotePrefix="0" xfId="1">
      <alignment horizontal="center" vertical="center" wrapText="1"/>
    </xf>
    <xf numFmtId="164" fontId="5" fillId="4" borderId="38" applyAlignment="1" pivotButton="0" quotePrefix="0" xfId="1">
      <alignment horizontal="center" vertical="center" wrapText="1"/>
    </xf>
    <xf numFmtId="164" fontId="4" fillId="4" borderId="38" applyAlignment="1" pivotButton="0" quotePrefix="0" xfId="1">
      <alignment horizontal="center" vertical="center" wrapText="1"/>
    </xf>
    <xf numFmtId="164" fontId="5" fillId="4" borderId="35" applyAlignment="1" pivotButton="0" quotePrefix="0" xfId="0">
      <alignment horizontal="center" vertical="center" wrapText="1"/>
    </xf>
    <xf numFmtId="164" fontId="5" fillId="4" borderId="36" applyAlignment="1" pivotButton="0" quotePrefix="0" xfId="0">
      <alignment horizontal="center" vertical="center" wrapText="1"/>
    </xf>
    <xf numFmtId="164" fontId="4" fillId="4" borderId="37" applyAlignment="1" pivotButton="0" quotePrefix="0" xfId="0">
      <alignment horizontal="center" vertical="center"/>
    </xf>
    <xf numFmtId="0" fontId="5" fillId="2" borderId="39" applyAlignment="1" pivotButton="0" quotePrefix="0" xfId="1">
      <alignment horizontal="center" vertical="center" wrapText="1"/>
    </xf>
    <xf numFmtId="0" fontId="5" fillId="2" borderId="40" applyAlignment="1" pivotButton="0" quotePrefix="0" xfId="1">
      <alignment horizontal="center" vertical="center" wrapText="1"/>
    </xf>
    <xf numFmtId="164" fontId="5" fillId="2" borderId="40" applyAlignment="1" pivotButton="0" quotePrefix="0" xfId="1">
      <alignment horizontal="center" vertical="center" wrapText="1"/>
    </xf>
    <xf numFmtId="164" fontId="5" fillId="0" borderId="41" applyAlignment="1" pivotButton="0" quotePrefix="0" xfId="1">
      <alignment horizontal="center" vertical="center" wrapText="1"/>
    </xf>
    <xf numFmtId="0" fontId="5" fillId="2" borderId="42" applyAlignment="1" pivotButton="0" quotePrefix="0" xfId="1">
      <alignment horizontal="center" vertical="center" wrapText="1"/>
    </xf>
    <xf numFmtId="0" fontId="4" fillId="2" borderId="46" applyAlignment="1" pivotButton="0" quotePrefix="0" xfId="0">
      <alignment horizontal="center" vertical="center" wrapText="1"/>
    </xf>
    <xf numFmtId="164" fontId="4" fillId="0" borderId="46" applyAlignment="1" pivotButton="0" quotePrefix="0" xfId="0">
      <alignment horizontal="center" vertical="center" wrapText="1"/>
    </xf>
    <xf numFmtId="164" fontId="4" fillId="0" borderId="47" applyAlignment="1" pivotButton="0" quotePrefix="0" xfId="0">
      <alignment horizontal="center" vertical="center" wrapText="1"/>
    </xf>
    <xf numFmtId="164" fontId="5" fillId="0" borderId="2" applyAlignment="1" pivotButton="0" quotePrefix="0" xfId="1">
      <alignment horizontal="center" vertical="center" wrapText="1"/>
    </xf>
    <xf numFmtId="164" fontId="4" fillId="0" borderId="2" applyAlignment="1" pivotButton="0" quotePrefix="0" xfId="0">
      <alignment vertical="center" wrapText="1"/>
    </xf>
    <xf numFmtId="0" fontId="5" fillId="2" borderId="48" applyAlignment="1" pivotButton="0" quotePrefix="0" xfId="1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164" fontId="6" fillId="2" borderId="12" applyAlignment="1" pivotButton="0" quotePrefix="0" xfId="1">
      <alignment horizontal="center" vertical="center" wrapText="1"/>
    </xf>
    <xf numFmtId="0" fontId="6" fillId="4" borderId="34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164" fontId="5" fillId="4" borderId="39" applyAlignment="1" pivotButton="0" quotePrefix="0" xfId="1">
      <alignment horizontal="center" vertical="center" wrapText="1"/>
    </xf>
    <xf numFmtId="164" fontId="2" fillId="4" borderId="40" applyAlignment="1" pivotButton="0" quotePrefix="0" xfId="0">
      <alignment vertical="center"/>
    </xf>
    <xf numFmtId="164" fontId="2" fillId="4" borderId="41" applyAlignment="1" pivotButton="0" quotePrefix="0" xfId="0">
      <alignment vertical="center"/>
    </xf>
    <xf numFmtId="164" fontId="5" fillId="4" borderId="48" applyAlignment="1" pivotButton="0" quotePrefix="0" xfId="1">
      <alignment horizontal="center" vertical="center" wrapText="1"/>
    </xf>
    <xf numFmtId="164" fontId="2" fillId="4" borderId="1" applyAlignment="1" pivotButton="0" quotePrefix="0" xfId="0">
      <alignment vertical="center"/>
    </xf>
    <xf numFmtId="164" fontId="2" fillId="4" borderId="33" applyAlignment="1" pivotButton="0" quotePrefix="0" xfId="0">
      <alignment vertical="center"/>
    </xf>
    <xf numFmtId="164" fontId="4" fillId="4" borderId="57" applyAlignment="1" pivotButton="0" quotePrefix="0" xfId="1">
      <alignment horizontal="center" vertical="center" wrapText="1"/>
    </xf>
    <xf numFmtId="164" fontId="4" fillId="4" borderId="46" applyAlignment="1" pivotButton="0" quotePrefix="0" xfId="1">
      <alignment horizontal="center" vertical="center" wrapText="1"/>
    </xf>
    <xf numFmtId="164" fontId="4" fillId="4" borderId="47" applyAlignment="1" pivotButton="0" quotePrefix="0" xfId="1">
      <alignment horizontal="center" vertical="center" wrapText="1"/>
    </xf>
    <xf numFmtId="164" fontId="4" fillId="4" borderId="48" applyAlignment="1" pivotButton="0" quotePrefix="0" xfId="1">
      <alignment horizontal="center" vertical="center" wrapText="1"/>
    </xf>
    <xf numFmtId="164" fontId="4" fillId="4" borderId="1" applyAlignment="1" pivotButton="0" quotePrefix="0" xfId="1">
      <alignment horizontal="center" vertical="center" wrapText="1"/>
    </xf>
    <xf numFmtId="164" fontId="4" fillId="4" borderId="33" applyAlignment="1" pivotButton="0" quotePrefix="0" xfId="1">
      <alignment horizontal="center" vertical="center" wrapText="1"/>
    </xf>
    <xf numFmtId="164" fontId="5" fillId="4" borderId="40" applyAlignment="1" pivotButton="0" quotePrefix="0" xfId="0">
      <alignment vertical="center"/>
    </xf>
    <xf numFmtId="164" fontId="5" fillId="4" borderId="4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164" fontId="5" fillId="4" borderId="33" applyAlignment="1" pivotButton="0" quotePrefix="0" xfId="0">
      <alignment vertical="center"/>
    </xf>
    <xf numFmtId="164" fontId="5" fillId="4" borderId="39" applyAlignment="1" pivotButton="0" quotePrefix="0" xfId="0">
      <alignment horizontal="center" vertical="center" wrapText="1"/>
    </xf>
    <xf numFmtId="164" fontId="5" fillId="4" borderId="48" applyAlignment="1" pivotButton="0" quotePrefix="0" xfId="0">
      <alignment horizontal="center" vertical="center" wrapText="1"/>
    </xf>
    <xf numFmtId="164" fontId="4" fillId="4" borderId="57" applyAlignment="1" pivotButton="0" quotePrefix="0" xfId="0">
      <alignment horizontal="center" vertical="center"/>
    </xf>
    <xf numFmtId="164" fontId="4" fillId="4" borderId="46" applyAlignment="1" pivotButton="0" quotePrefix="0" xfId="0">
      <alignment horizontal="center" vertical="center"/>
    </xf>
    <xf numFmtId="164" fontId="4" fillId="4" borderId="47" applyAlignment="1" pivotButton="0" quotePrefix="0" xfId="0">
      <alignment horizontal="center" vertical="center"/>
    </xf>
    <xf numFmtId="164" fontId="7" fillId="4" borderId="39" applyAlignment="1" pivotButton="0" quotePrefix="0" xfId="0">
      <alignment vertical="center"/>
    </xf>
    <xf numFmtId="164" fontId="7" fillId="4" borderId="40" applyAlignment="1" pivotButton="0" quotePrefix="0" xfId="0">
      <alignment vertical="center"/>
    </xf>
    <xf numFmtId="164" fontId="7" fillId="4" borderId="41" applyAlignment="1" pivotButton="0" quotePrefix="0" xfId="0">
      <alignment vertical="center"/>
    </xf>
    <xf numFmtId="164" fontId="7" fillId="4" borderId="48" applyAlignment="1" pivotButton="0" quotePrefix="0" xfId="0">
      <alignment vertical="center"/>
    </xf>
    <xf numFmtId="164" fontId="7" fillId="4" borderId="33" applyAlignment="1" pivotButton="0" quotePrefix="0" xfId="0">
      <alignment vertical="center"/>
    </xf>
    <xf numFmtId="164" fontId="7" fillId="4" borderId="57" applyAlignment="1" pivotButton="0" quotePrefix="0" xfId="0">
      <alignment vertical="center"/>
    </xf>
    <xf numFmtId="164" fontId="7" fillId="4" borderId="46" applyAlignment="1" pivotButton="0" quotePrefix="0" xfId="0">
      <alignment vertical="center"/>
    </xf>
    <xf numFmtId="164" fontId="7" fillId="4" borderId="4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6" borderId="12" applyAlignment="1" pivotButton="0" quotePrefix="0" xfId="0">
      <alignment horizontal="center" vertical="center" wrapText="1"/>
    </xf>
    <xf numFmtId="164" fontId="3" fillId="6" borderId="12" applyAlignment="1" pivotButton="0" quotePrefix="0" xfId="1">
      <alignment horizontal="center" vertical="center" wrapText="1"/>
    </xf>
    <xf numFmtId="0" fontId="3" fillId="6" borderId="12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164" fontId="4" fillId="0" borderId="33" applyAlignment="1" pivotButton="0" quotePrefix="0" xfId="0">
      <alignment vertical="center" wrapText="1"/>
    </xf>
    <xf numFmtId="164" fontId="4" fillId="0" borderId="47" applyAlignment="1" pivotButton="0" quotePrefix="0" xfId="0">
      <alignment vertical="center" wrapText="1"/>
    </xf>
    <xf numFmtId="164" fontId="5" fillId="2" borderId="58" applyAlignment="1" pivotButton="0" quotePrefix="0" xfId="1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165" fontId="11" fillId="0" borderId="8" applyAlignment="1" pivotButton="0" quotePrefix="0" xfId="0">
      <alignment horizontal="center" vertical="center"/>
    </xf>
    <xf numFmtId="165" fontId="13" fillId="0" borderId="8" applyAlignment="1" pivotButton="0" quotePrefix="0" xfId="0">
      <alignment horizontal="center" vertical="center"/>
    </xf>
    <xf numFmtId="165" fontId="12" fillId="0" borderId="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4" fillId="0" borderId="17" applyAlignment="1" pivotButton="0" quotePrefix="0" xfId="0">
      <alignment horizontal="center" vertical="center" wrapText="1"/>
    </xf>
    <xf numFmtId="0" fontId="4" fillId="0" borderId="28" applyAlignment="1" pivotButton="0" quotePrefix="0" xfId="0">
      <alignment vertical="center" wrapText="1"/>
    </xf>
    <xf numFmtId="0" fontId="4" fillId="0" borderId="1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164" fontId="4" fillId="0" borderId="6" applyAlignment="1" pivotButton="0" quotePrefix="0" xfId="0">
      <alignment vertical="center" wrapText="1"/>
    </xf>
    <xf numFmtId="0" fontId="4" fillId="2" borderId="17" applyAlignment="1" pivotButton="0" quotePrefix="0" xfId="0">
      <alignment horizontal="center" vertical="center" wrapText="1"/>
    </xf>
    <xf numFmtId="164" fontId="4" fillId="0" borderId="61" applyAlignment="1" pivotButton="0" quotePrefix="0" xfId="0">
      <alignment vertical="center" wrapText="1"/>
    </xf>
    <xf numFmtId="164" fontId="4" fillId="4" borderId="62" applyAlignment="1" pivotButton="0" quotePrefix="0" xfId="1">
      <alignment horizontal="center" vertical="center" wrapText="1"/>
    </xf>
    <xf numFmtId="0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1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30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3" fillId="6" borderId="34" applyAlignment="1" pivotButton="0" quotePrefix="0" xfId="0">
      <alignment horizontal="center" vertical="center" wrapText="1"/>
    </xf>
    <xf numFmtId="0" fontId="3" fillId="6" borderId="54" applyAlignment="1" pivotButton="0" quotePrefix="0" xfId="0">
      <alignment horizontal="center" vertical="center" wrapText="1"/>
    </xf>
    <xf numFmtId="164" fontId="3" fillId="6" borderId="13" applyAlignment="1" pivotButton="0" quotePrefix="0" xfId="1">
      <alignment horizontal="center" vertical="center" wrapText="1"/>
    </xf>
    <xf numFmtId="164" fontId="3" fillId="6" borderId="15" applyAlignment="1" pivotButton="0" quotePrefix="0" xfId="1">
      <alignment horizontal="center" vertical="center" wrapText="1"/>
    </xf>
    <xf numFmtId="0" fontId="3" fillId="6" borderId="13" applyAlignment="1" pivotButton="0" quotePrefix="0" xfId="0">
      <alignment horizontal="center" vertical="center" wrapText="1"/>
    </xf>
    <xf numFmtId="0" fontId="3" fillId="6" borderId="15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164" fontId="5" fillId="2" borderId="2" applyAlignment="1" pivotButton="0" quotePrefix="0" xfId="0">
      <alignment horizontal="center" vertical="center" wrapText="1"/>
    </xf>
    <xf numFmtId="164" fontId="5" fillId="2" borderId="4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164" fontId="5" fillId="0" borderId="4" applyAlignment="1" pivotButton="0" quotePrefix="0" xfId="0">
      <alignment horizontal="center" vertical="center" wrapText="1"/>
    </xf>
    <xf numFmtId="164" fontId="5" fillId="0" borderId="9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left" vertical="center" wrapText="1"/>
    </xf>
    <xf numFmtId="0" fontId="4" fillId="0" borderId="28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164" fontId="5" fillId="2" borderId="26" applyAlignment="1" pivotButton="0" quotePrefix="0" xfId="0">
      <alignment horizontal="center" vertical="center" wrapText="1"/>
    </xf>
    <xf numFmtId="164" fontId="5" fillId="2" borderId="27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3" borderId="34" applyAlignment="1" pivotButton="0" quotePrefix="0" xfId="0">
      <alignment horizontal="center" vertical="center" wrapText="1"/>
    </xf>
    <xf numFmtId="164" fontId="5" fillId="0" borderId="26" applyAlignment="1" pivotButton="0" quotePrefix="0" xfId="0">
      <alignment horizontal="center" vertical="center" wrapText="1"/>
    </xf>
    <xf numFmtId="164" fontId="5" fillId="0" borderId="2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164" fontId="5" fillId="2" borderId="23" applyAlignment="1" pivotButton="0" quotePrefix="0" xfId="0">
      <alignment horizontal="center" vertical="center" wrapText="1"/>
    </xf>
    <xf numFmtId="164" fontId="5" fillId="2" borderId="24" applyAlignment="1" pivotButton="0" quotePrefix="0" xfId="0">
      <alignment horizontal="center" vertical="center" wrapText="1"/>
    </xf>
    <xf numFmtId="0" fontId="6" fillId="4" borderId="34" applyAlignment="1" pivotButton="0" quotePrefix="0" xfId="0">
      <alignment horizontal="center" vertical="center" wrapText="1"/>
    </xf>
    <xf numFmtId="0" fontId="6" fillId="4" borderId="54" applyAlignment="1" pivotButton="0" quotePrefix="0" xfId="0">
      <alignment horizontal="center" vertical="center" wrapText="1"/>
    </xf>
    <xf numFmtId="0" fontId="3" fillId="6" borderId="14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164" fontId="4" fillId="0" borderId="49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 wrapText="1"/>
    </xf>
    <xf numFmtId="164" fontId="4" fillId="0" borderId="6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64" fontId="4" fillId="0" borderId="30" applyAlignment="1" pivotButton="0" quotePrefix="0" xfId="0">
      <alignment horizontal="center" vertical="center" wrapText="1"/>
    </xf>
    <xf numFmtId="164" fontId="4" fillId="0" borderId="17" applyAlignment="1" pivotButton="0" quotePrefix="0" xfId="0">
      <alignment horizontal="center" vertical="center" wrapText="1"/>
    </xf>
    <xf numFmtId="164" fontId="4" fillId="0" borderId="59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165" fontId="2" fillId="0" borderId="30" applyAlignment="1" pivotButton="0" quotePrefix="0" xfId="0">
      <alignment horizontal="center" vertical="center"/>
    </xf>
    <xf numFmtId="165" fontId="2" fillId="0" borderId="2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165" fontId="2" fillId="0" borderId="26" applyAlignment="1" pivotButton="0" quotePrefix="0" xfId="0">
      <alignment horizontal="center" vertical="center"/>
    </xf>
    <xf numFmtId="165" fontId="2" fillId="0" borderId="27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165" fontId="2" fillId="0" borderId="1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4" fontId="5" fillId="2" borderId="9" applyAlignment="1" pivotButton="0" quotePrefix="0" xfId="0">
      <alignment horizontal="center" vertical="center" wrapText="1"/>
    </xf>
    <xf numFmtId="164" fontId="5" fillId="2" borderId="11" applyAlignment="1" pivotButton="0" quotePrefix="0" xfId="0">
      <alignment horizontal="center" vertical="center" wrapText="1"/>
    </xf>
    <xf numFmtId="164" fontId="5" fillId="0" borderId="29" applyAlignment="1" pivotButton="0" quotePrefix="0" xfId="0">
      <alignment horizontal="center" vertical="center" wrapText="1"/>
    </xf>
    <xf numFmtId="164" fontId="5" fillId="0" borderId="3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6" borderId="56" applyAlignment="1" pivotButton="0" quotePrefix="0" xfId="0">
      <alignment horizontal="center" vertical="center" wrapText="1"/>
    </xf>
    <xf numFmtId="0" fontId="6" fillId="4" borderId="56" applyAlignment="1" pivotButton="0" quotePrefix="0" xfId="0">
      <alignment horizontal="center" vertical="center" wrapText="1"/>
    </xf>
    <xf numFmtId="0" fontId="6" fillId="2" borderId="34" applyAlignment="1" pivotButton="0" quotePrefix="0" xfId="0">
      <alignment horizontal="center" vertical="center" wrapText="1"/>
    </xf>
    <xf numFmtId="0" fontId="6" fillId="2" borderId="54" applyAlignment="1" pivotButton="0" quotePrefix="0" xfId="0">
      <alignment horizontal="center" vertical="center" wrapText="1"/>
    </xf>
    <xf numFmtId="0" fontId="6" fillId="4" borderId="19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164" fontId="3" fillId="6" borderId="34" applyAlignment="1" pivotButton="0" quotePrefix="0" xfId="1">
      <alignment horizontal="center" vertical="center" wrapText="1"/>
    </xf>
    <xf numFmtId="164" fontId="3" fillId="6" borderId="54" applyAlignment="1" pivotButton="0" quotePrefix="0" xfId="1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164" fontId="4" fillId="0" borderId="50" applyAlignment="1" pivotButton="0" quotePrefix="0" xfId="0">
      <alignment horizontal="center" vertical="center" wrapText="1"/>
    </xf>
    <xf numFmtId="164" fontId="4" fillId="0" borderId="51" applyAlignment="1" pivotButton="0" quotePrefix="0" xfId="0">
      <alignment horizontal="center" vertical="center" wrapText="1"/>
    </xf>
    <xf numFmtId="164" fontId="4" fillId="0" borderId="52" applyAlignment="1" pivotButton="0" quotePrefix="0" xfId="0">
      <alignment horizontal="center" vertical="center" wrapText="1"/>
    </xf>
    <xf numFmtId="164" fontId="4" fillId="0" borderId="53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6" fillId="3" borderId="55" applyAlignment="1" pivotButton="0" quotePrefix="0" xfId="0">
      <alignment horizontal="center" vertical="center" wrapText="1"/>
    </xf>
    <xf numFmtId="164" fontId="5" fillId="2" borderId="29" applyAlignment="1" pivotButton="0" quotePrefix="0" xfId="0">
      <alignment horizontal="center" vertical="center" wrapText="1"/>
    </xf>
    <xf numFmtId="164" fontId="5" fillId="2" borderId="30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/>
    </xf>
    <xf numFmtId="0" fontId="8" fillId="0" borderId="5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164" fontId="6" fillId="2" borderId="34" applyAlignment="1" pivotButton="0" quotePrefix="0" xfId="1">
      <alignment horizontal="center" vertical="center" wrapText="1"/>
    </xf>
    <xf numFmtId="164" fontId="6" fillId="2" borderId="54" applyAlignment="1" pivotButton="0" quotePrefix="0" xfId="1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8" fillId="0" borderId="12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165" fontId="2" fillId="0" borderId="0" applyAlignment="1" pivotButton="0" quotePrefix="0" xfId="0">
      <alignment vertical="center"/>
    </xf>
    <xf numFmtId="164" fontId="4" fillId="0" borderId="6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4" fillId="0" borderId="17" applyAlignment="1" pivotButton="0" quotePrefix="0" xfId="0">
      <alignment horizontal="left" vertical="center" wrapText="1"/>
    </xf>
    <xf numFmtId="0" fontId="0" fillId="0" borderId="59" pivotButton="0" quotePrefix="0" xfId="0"/>
    <xf numFmtId="0" fontId="0" fillId="0" borderId="60" pivotButton="0" quotePrefix="0" xfId="0"/>
    <xf numFmtId="0" fontId="0" fillId="0" borderId="30" pivotButton="0" quotePrefix="0" xfId="0"/>
    <xf numFmtId="0" fontId="5" fillId="0" borderId="64" applyAlignment="1" pivotButton="0" quotePrefix="0" xfId="0">
      <alignment horizontal="center" vertical="center" wrapText="1"/>
    </xf>
    <xf numFmtId="0" fontId="0" fillId="0" borderId="24" pivotButton="0" quotePrefix="0" xfId="0"/>
    <xf numFmtId="0" fontId="5" fillId="0" borderId="63" applyAlignment="1" pivotButton="0" quotePrefix="0" xfId="0">
      <alignment horizontal="center" vertical="center" wrapText="1"/>
    </xf>
    <xf numFmtId="0" fontId="0" fillId="0" borderId="27" pivotButton="0" quotePrefix="0" xfId="0"/>
    <xf numFmtId="164" fontId="5" fillId="2" borderId="64" applyAlignment="1" pivotButton="0" quotePrefix="0" xfId="0">
      <alignment horizontal="center" vertical="center" wrapText="1"/>
    </xf>
    <xf numFmtId="164" fontId="5" fillId="0" borderId="63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0" fillId="0" borderId="11" pivotButton="0" quotePrefix="0" xfId="0"/>
    <xf numFmtId="164" fontId="5" fillId="0" borderId="8" applyAlignment="1" pivotButton="0" quotePrefix="0" xfId="0">
      <alignment horizontal="center" vertical="center" wrapText="1"/>
    </xf>
    <xf numFmtId="0" fontId="0" fillId="0" borderId="28" pivotButton="0" quotePrefix="0" xfId="0"/>
    <xf numFmtId="164" fontId="5" fillId="2" borderId="6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7" fillId="0" borderId="1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165" fontId="11" fillId="0" borderId="8" applyAlignment="1" pivotButton="0" quotePrefix="0" xfId="0">
      <alignment horizontal="center" vertical="center"/>
    </xf>
    <xf numFmtId="165" fontId="13" fillId="0" borderId="8" applyAlignment="1" pivotButton="0" quotePrefix="0" xfId="0">
      <alignment horizontal="center" vertical="center"/>
    </xf>
    <xf numFmtId="165" fontId="12" fillId="0" borderId="8" applyAlignment="1" pivotButton="0" quotePrefix="0" xfId="0">
      <alignment horizontal="center" vertical="center"/>
    </xf>
    <xf numFmtId="165" fontId="14" fillId="0" borderId="0" applyAlignment="1" pivotButton="0" quotePrefix="0" xfId="0">
      <alignment vertical="center"/>
    </xf>
    <xf numFmtId="165" fontId="2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165" fontId="2" fillId="0" borderId="30" applyAlignment="1" pivotButton="0" quotePrefix="0" xfId="0">
      <alignment horizontal="center" vertical="center"/>
    </xf>
    <xf numFmtId="165" fontId="2" fillId="0" borderId="1" applyAlignment="1" pivotButton="0" quotePrefix="0" xfId="0">
      <alignment vertical="center"/>
    </xf>
    <xf numFmtId="165" fontId="2" fillId="0" borderId="63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164" fontId="4" fillId="0" borderId="5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5" fillId="0" borderId="59" applyAlignment="1" pivotButton="0" quotePrefix="0" xfId="0">
      <alignment horizontal="center" vertical="center" wrapText="1"/>
    </xf>
    <xf numFmtId="164" fontId="5" fillId="2" borderId="8" applyAlignment="1" pivotButton="0" quotePrefix="0" xfId="0">
      <alignment horizontal="center" vertical="center" wrapText="1"/>
    </xf>
    <xf numFmtId="164" fontId="5" fillId="0" borderId="59" applyAlignment="1" pivotButton="0" quotePrefix="0" xfId="0">
      <alignment horizontal="center" vertical="center" wrapText="1"/>
    </xf>
    <xf numFmtId="164" fontId="5" fillId="2" borderId="59" applyAlignment="1" pivotButton="0" quotePrefix="0" xfId="0">
      <alignment horizontal="center" vertical="center" wrapText="1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99"/>
  <sheetViews>
    <sheetView tabSelected="1" zoomScale="80" zoomScaleNormal="80" workbookViewId="0">
      <selection activeCell="A1" sqref="A1:P2"/>
    </sheetView>
  </sheetViews>
  <sheetFormatPr baseColWidth="8" defaultColWidth="9.140625" defaultRowHeight="15.75"/>
  <cols>
    <col width="9.140625" customWidth="1" style="12" min="1" max="1"/>
    <col width="44.85546875" customWidth="1" style="12" min="2" max="2"/>
    <col width="14.140625" customWidth="1" style="12" min="3" max="3"/>
    <col width="7.28515625" customWidth="1" style="12" min="4" max="4"/>
    <col width="9.42578125" customWidth="1" style="12" min="5" max="5"/>
    <col width="15.7109375" customWidth="1" style="12" min="6" max="6"/>
    <col width="19.140625" customWidth="1" style="12" min="7" max="7"/>
    <col width="15.28515625" customWidth="1" style="12" min="8" max="14"/>
    <col width="14.85546875" customWidth="1" style="12" min="15" max="15"/>
    <col width="22" customWidth="1" style="12" min="16" max="16"/>
    <col width="9.140625" customWidth="1" style="12" min="17" max="17"/>
    <col width="12.42578125" bestFit="1" customWidth="1" style="12" min="18" max="18"/>
    <col width="11.42578125" customWidth="1" style="12" min="19" max="19"/>
    <col width="15.5703125" bestFit="1" customWidth="1" style="12" min="20" max="20"/>
    <col width="12.85546875" customWidth="1" style="12" min="21" max="21"/>
    <col width="13.85546875" customWidth="1" style="12" min="22" max="22"/>
    <col width="11.85546875" customWidth="1" style="12" min="23" max="23"/>
    <col width="9.140625" customWidth="1" style="12" min="24" max="16384"/>
  </cols>
  <sheetData>
    <row r="1" ht="23.25" customHeight="1">
      <c r="A1" s="247" t="inlineStr">
        <is>
          <t xml:space="preserve">Customer and Project Scope -  </t>
        </is>
      </c>
      <c r="B1" s="248" t="n"/>
      <c r="C1" s="248" t="n"/>
      <c r="D1" s="248" t="n"/>
      <c r="E1" s="248" t="n"/>
      <c r="F1" s="248" t="n"/>
      <c r="G1" s="248" t="n"/>
      <c r="H1" s="248" t="n"/>
      <c r="I1" s="248" t="n"/>
      <c r="J1" s="248" t="n"/>
      <c r="K1" s="248" t="n"/>
      <c r="L1" s="248" t="n"/>
      <c r="M1" s="248" t="n"/>
      <c r="N1" s="248" t="n"/>
      <c r="O1" s="248" t="n"/>
      <c r="P1" s="249" t="n"/>
    </row>
    <row r="2" ht="19.5" customHeight="1" thickBot="1">
      <c r="A2" s="250" t="n"/>
      <c r="B2" s="251" t="n"/>
      <c r="C2" s="251" t="n"/>
      <c r="D2" s="251" t="n"/>
      <c r="E2" s="251" t="n"/>
      <c r="F2" s="251" t="n"/>
      <c r="G2" s="251" t="n"/>
      <c r="H2" s="251" t="n"/>
      <c r="I2" s="251" t="n"/>
      <c r="J2" s="251" t="n"/>
      <c r="K2" s="251" t="n"/>
      <c r="L2" s="251" t="n"/>
      <c r="M2" s="251" t="n"/>
      <c r="N2" s="251" t="n"/>
      <c r="O2" s="251" t="n"/>
      <c r="P2" s="252" t="n"/>
    </row>
    <row r="3" ht="19.5" customHeight="1" thickBot="1">
      <c r="A3" s="167" t="inlineStr">
        <is>
          <t>AINSWORTH LABOUR</t>
        </is>
      </c>
      <c r="B3" s="253" t="n"/>
      <c r="C3" s="253" t="n"/>
      <c r="D3" s="253" t="n"/>
      <c r="E3" s="253" t="n"/>
      <c r="F3" s="253" t="n"/>
      <c r="G3" s="253" t="n"/>
      <c r="H3" s="253" t="n"/>
      <c r="I3" s="253" t="n"/>
      <c r="J3" s="253" t="n"/>
      <c r="K3" s="253" t="n"/>
      <c r="L3" s="253" t="n"/>
      <c r="M3" s="253" t="n"/>
      <c r="N3" s="253" t="n"/>
      <c r="O3" s="253" t="n"/>
      <c r="P3" s="254" t="n"/>
    </row>
    <row r="4" ht="19.5" customHeight="1" thickBot="1">
      <c r="A4" s="83" t="inlineStr">
        <is>
          <t>Item</t>
        </is>
      </c>
      <c r="B4" s="83" t="inlineStr">
        <is>
          <t>Task</t>
        </is>
      </c>
      <c r="C4" s="83" t="inlineStr">
        <is>
          <t>Regular Labour Rates</t>
        </is>
      </c>
      <c r="D4" s="253" t="n"/>
      <c r="E4" s="253" t="n"/>
      <c r="F4" s="253" t="n"/>
      <c r="G4" s="253" t="n"/>
      <c r="H4" s="254" t="n"/>
      <c r="I4" s="49" t="inlineStr">
        <is>
          <t>Premium Labour Rates</t>
        </is>
      </c>
      <c r="J4" s="253" t="n"/>
      <c r="K4" s="253" t="n"/>
      <c r="L4" s="253" t="n"/>
      <c r="M4" s="253" t="n"/>
      <c r="N4" s="254" t="n"/>
      <c r="O4" s="83" t="inlineStr">
        <is>
          <t>Margin</t>
        </is>
      </c>
      <c r="P4" s="52" t="inlineStr">
        <is>
          <t>Subtotal 3 - Sell Rate</t>
        </is>
      </c>
    </row>
    <row r="5" ht="57" customHeight="1" thickBot="1">
      <c r="A5" s="255" t="n"/>
      <c r="B5" s="255" t="n"/>
      <c r="C5" s="83" t="inlineStr">
        <is>
          <t># of techs</t>
        </is>
      </c>
      <c r="D5" s="83" t="inlineStr">
        <is>
          <t>Days/Units</t>
        </is>
      </c>
      <c r="E5" s="83" t="inlineStr">
        <is>
          <t>Regular Hours</t>
        </is>
      </c>
      <c r="F5" s="83" t="inlineStr">
        <is>
          <t>Total Regular Hours</t>
        </is>
      </c>
      <c r="G5" s="84" t="inlineStr">
        <is>
          <t>Regular Labour Rate</t>
        </is>
      </c>
      <c r="H5" s="84" t="inlineStr">
        <is>
          <t>Subtotal 1</t>
        </is>
      </c>
      <c r="I5" s="49" t="inlineStr">
        <is>
          <t># of techs</t>
        </is>
      </c>
      <c r="J5" s="49" t="inlineStr">
        <is>
          <t>Days/Units</t>
        </is>
      </c>
      <c r="K5" s="49" t="inlineStr">
        <is>
          <t>O/T Hours</t>
        </is>
      </c>
      <c r="L5" s="49" t="inlineStr">
        <is>
          <t>Total O/T Hours</t>
        </is>
      </c>
      <c r="M5" s="50" t="inlineStr">
        <is>
          <t>O/T Labour Rate</t>
        </is>
      </c>
      <c r="N5" s="49" t="inlineStr">
        <is>
          <t>Subtotal 2</t>
        </is>
      </c>
      <c r="O5" s="255" t="n"/>
      <c r="P5" s="255" t="n"/>
    </row>
    <row r="6" ht="34.5" customHeight="1" thickBot="1">
      <c r="A6" s="167" t="inlineStr">
        <is>
          <t>Project Management</t>
        </is>
      </c>
      <c r="B6" s="253" t="n"/>
      <c r="C6" s="253" t="n"/>
      <c r="D6" s="253" t="n"/>
      <c r="E6" s="253" t="n"/>
      <c r="F6" s="253" t="n"/>
      <c r="G6" s="253" t="n"/>
      <c r="H6" s="253" t="n"/>
      <c r="I6" s="253" t="n"/>
      <c r="J6" s="253" t="n"/>
      <c r="K6" s="253" t="n"/>
      <c r="L6" s="253" t="n"/>
      <c r="M6" s="253" t="n"/>
      <c r="N6" s="253" t="n"/>
      <c r="O6" s="253" t="n"/>
      <c r="P6" s="254" t="n"/>
      <c r="T6" s="12">
        <f>(P26+P37+P51)*0.05</f>
        <v/>
      </c>
    </row>
    <row r="7" ht="16.5" customHeight="1" thickTop="1">
      <c r="A7" s="192" t="n">
        <v>1</v>
      </c>
      <c r="B7" s="10" t="inlineStr">
        <is>
          <t>Engineering/Meetings</t>
        </is>
      </c>
      <c r="C7" s="4" t="n">
        <v>0</v>
      </c>
      <c r="D7" s="4" t="n">
        <v>0</v>
      </c>
      <c r="E7" s="4" t="n"/>
      <c r="F7" s="4">
        <f>C7*D7*E7</f>
        <v/>
      </c>
      <c r="G7" s="19" t="n">
        <v>90</v>
      </c>
      <c r="H7" s="25">
        <f>F7*G7</f>
        <v/>
      </c>
      <c r="I7" s="38" t="n"/>
      <c r="J7" s="39" t="n"/>
      <c r="K7" s="39" t="n"/>
      <c r="L7" s="39">
        <f>I7*J7*K7</f>
        <v/>
      </c>
      <c r="M7" s="40" t="n">
        <v>150</v>
      </c>
      <c r="N7" s="41">
        <f>L7*M7</f>
        <v/>
      </c>
      <c r="O7" s="2" t="n">
        <v>0.75</v>
      </c>
      <c r="P7" s="30">
        <f>H7/O7+N7/O7</f>
        <v/>
      </c>
      <c r="R7" s="15" t="n"/>
    </row>
    <row r="8">
      <c r="A8" s="192" t="n">
        <v>2</v>
      </c>
      <c r="B8" s="1" t="inlineStr">
        <is>
          <t>Project Management</t>
        </is>
      </c>
      <c r="C8" s="4" t="n">
        <v>0.05</v>
      </c>
      <c r="D8" s="4" t="n">
        <v>1</v>
      </c>
      <c r="E8" s="4" t="n">
        <v>1</v>
      </c>
      <c r="F8" s="4">
        <f>C8*D8*E8</f>
        <v/>
      </c>
      <c r="G8" s="19">
        <f>(P26+P37+P51)</f>
        <v/>
      </c>
      <c r="H8" s="26">
        <f>F8*G8</f>
        <v/>
      </c>
      <c r="I8" s="42" t="n"/>
      <c r="J8" s="23" t="n"/>
      <c r="K8" s="23" t="n"/>
      <c r="L8" s="23">
        <f>I8*J8*K8</f>
        <v/>
      </c>
      <c r="M8" s="19" t="n">
        <v>150</v>
      </c>
      <c r="N8" s="26">
        <f>L8*M8</f>
        <v/>
      </c>
      <c r="O8" s="2" t="n">
        <v>0.85</v>
      </c>
      <c r="P8" s="33">
        <f>H8/O8+N8/O8</f>
        <v/>
      </c>
    </row>
    <row r="9">
      <c r="A9" s="192" t="n">
        <v>3</v>
      </c>
      <c r="B9" s="1" t="inlineStr">
        <is>
          <t>ESA Submissions</t>
        </is>
      </c>
      <c r="C9" s="4" t="n">
        <v>1</v>
      </c>
      <c r="D9" s="4" t="n">
        <v>1</v>
      </c>
      <c r="E9" s="4" t="n">
        <v>1</v>
      </c>
      <c r="F9" s="4">
        <f>C9*D9*E9</f>
        <v/>
      </c>
      <c r="G9" s="19" t="n">
        <v>1500</v>
      </c>
      <c r="H9" s="26">
        <f>F9*G9</f>
        <v/>
      </c>
      <c r="I9" s="42" t="n"/>
      <c r="J9" s="23" t="n"/>
      <c r="K9" s="23" t="n"/>
      <c r="L9" s="23">
        <f>I9*J9*K9</f>
        <v/>
      </c>
      <c r="M9" s="19" t="n">
        <v>150</v>
      </c>
      <c r="N9" s="26">
        <f>L9*M9</f>
        <v/>
      </c>
      <c r="O9" s="2" t="n">
        <v>0.85</v>
      </c>
      <c r="P9" s="31">
        <f>H9/O9+N9/O9</f>
        <v/>
      </c>
    </row>
    <row r="10">
      <c r="A10" s="192" t="n">
        <v>4</v>
      </c>
      <c r="B10" s="1" t="inlineStr">
        <is>
          <t>Misc. Subcontractors</t>
        </is>
      </c>
      <c r="C10" s="4" t="n">
        <v>0.05</v>
      </c>
      <c r="D10" s="4" t="n">
        <v>1</v>
      </c>
      <c r="E10" s="4" t="n">
        <v>1</v>
      </c>
      <c r="F10" s="4">
        <f>C10*D10*E10</f>
        <v/>
      </c>
      <c r="G10" s="19">
        <f>P37</f>
        <v/>
      </c>
      <c r="H10" s="26">
        <f>F10*G10</f>
        <v/>
      </c>
      <c r="I10" s="42" t="n"/>
      <c r="J10" s="23" t="n"/>
      <c r="K10" s="23" t="n"/>
      <c r="L10" s="23">
        <f>I10*J10*K10</f>
        <v/>
      </c>
      <c r="M10" s="19" t="n">
        <v>150</v>
      </c>
      <c r="N10" s="26">
        <f>L10*M10</f>
        <v/>
      </c>
      <c r="O10" s="2" t="n">
        <v>0.85</v>
      </c>
      <c r="P10" s="31">
        <f>H10/O10+N10/O10</f>
        <v/>
      </c>
    </row>
    <row r="11">
      <c r="A11" s="192" t="n">
        <v>5</v>
      </c>
      <c r="B11" s="1" t="inlineStr">
        <is>
          <t>Misc. Materials</t>
        </is>
      </c>
      <c r="C11" s="4" t="n">
        <v>0.05</v>
      </c>
      <c r="D11" s="4" t="n">
        <v>1</v>
      </c>
      <c r="E11" s="4" t="n">
        <v>1</v>
      </c>
      <c r="F11" s="4">
        <f>C11*D11*E11</f>
        <v/>
      </c>
      <c r="G11" s="19">
        <f>P51</f>
        <v/>
      </c>
      <c r="H11" s="26">
        <f>F11*G11</f>
        <v/>
      </c>
      <c r="I11" s="42" t="n"/>
      <c r="J11" s="23" t="n"/>
      <c r="K11" s="23" t="n"/>
      <c r="L11" s="23">
        <f>I11*J11*K11</f>
        <v/>
      </c>
      <c r="M11" s="19" t="n">
        <v>150</v>
      </c>
      <c r="N11" s="26">
        <f>L11*M11</f>
        <v/>
      </c>
      <c r="O11" s="2" t="n">
        <v>0.9</v>
      </c>
      <c r="P11" s="31">
        <f>H11/O11+N11/O11</f>
        <v/>
      </c>
    </row>
    <row r="12">
      <c r="A12" s="192" t="n">
        <v>6</v>
      </c>
      <c r="B12" s="1" t="inlineStr">
        <is>
          <t>Health and Safety</t>
        </is>
      </c>
      <c r="C12" s="4" t="n"/>
      <c r="D12" s="4" t="n"/>
      <c r="E12" s="4" t="n"/>
      <c r="F12" s="4">
        <f>C12*D12*E12</f>
        <v/>
      </c>
      <c r="G12" s="19" t="n">
        <v>80</v>
      </c>
      <c r="H12" s="26">
        <f>F12*G12</f>
        <v/>
      </c>
      <c r="I12" s="42" t="n"/>
      <c r="J12" s="23" t="n"/>
      <c r="K12" s="23" t="n"/>
      <c r="L12" s="23">
        <f>I12*J12*K12</f>
        <v/>
      </c>
      <c r="M12" s="19" t="n">
        <v>150</v>
      </c>
      <c r="N12" s="26">
        <f>L12*M12</f>
        <v/>
      </c>
      <c r="O12" s="2" t="n">
        <v>0.85</v>
      </c>
      <c r="P12" s="31">
        <f>H12/O12+N12/O12</f>
        <v/>
      </c>
    </row>
    <row r="13">
      <c r="A13" s="192" t="n">
        <v>7</v>
      </c>
      <c r="B13" s="1" t="inlineStr">
        <is>
          <t>Forman - site supervision and civil</t>
        </is>
      </c>
      <c r="C13" s="4" t="n"/>
      <c r="D13" s="4" t="n"/>
      <c r="E13" s="4" t="n"/>
      <c r="F13" s="4">
        <f>C13*D13*E13</f>
        <v/>
      </c>
      <c r="G13" s="19" t="n">
        <v>92</v>
      </c>
      <c r="H13" s="26">
        <f>F13*G13</f>
        <v/>
      </c>
      <c r="I13" s="42" t="n"/>
      <c r="J13" s="23" t="n"/>
      <c r="K13" s="23" t="n"/>
      <c r="L13" s="23">
        <f>I13*J13*K13</f>
        <v/>
      </c>
      <c r="M13" s="19" t="n">
        <v>185</v>
      </c>
      <c r="N13" s="26">
        <f>L13*M13</f>
        <v/>
      </c>
      <c r="O13" s="2" t="n">
        <v>0.85</v>
      </c>
      <c r="P13" s="31">
        <f>H13/O13+N13/O13</f>
        <v/>
      </c>
    </row>
    <row r="14">
      <c r="A14" s="192" t="n">
        <v>8</v>
      </c>
      <c r="B14" s="1" t="inlineStr">
        <is>
          <t>Lodging</t>
        </is>
      </c>
      <c r="C14" s="4" t="n">
        <v>0</v>
      </c>
      <c r="D14" s="4" t="n">
        <v>4</v>
      </c>
      <c r="E14" s="4" t="n">
        <v>1</v>
      </c>
      <c r="F14" s="4">
        <f>C14*D14*E14</f>
        <v/>
      </c>
      <c r="G14" s="19" t="n">
        <v>250</v>
      </c>
      <c r="H14" s="26">
        <f>F14*G14</f>
        <v/>
      </c>
      <c r="I14" s="42" t="n"/>
      <c r="J14" s="23" t="n"/>
      <c r="K14" s="23" t="n"/>
      <c r="L14" s="23">
        <f>I14*J14*K14</f>
        <v/>
      </c>
      <c r="M14" s="19" t="n">
        <v>150</v>
      </c>
      <c r="N14" s="26">
        <f>L14*M14</f>
        <v/>
      </c>
      <c r="O14" s="2" t="n">
        <v>1</v>
      </c>
      <c r="P14" s="31">
        <f>H14/O14+N14/O14</f>
        <v/>
      </c>
    </row>
    <row r="15" ht="15.75" customFormat="1" customHeight="1" s="7" thickBot="1">
      <c r="A15" s="223" t="inlineStr">
        <is>
          <t>Total Management</t>
        </is>
      </c>
      <c r="B15" s="256" t="n"/>
      <c r="C15" s="256" t="n"/>
      <c r="D15" s="256" t="n"/>
      <c r="E15" s="257" t="n"/>
      <c r="F15" s="3">
        <f>SUM(F7:F14)</f>
        <v/>
      </c>
      <c r="G15" s="3" t="n"/>
      <c r="H15" s="27">
        <f>SUM(H7:H14)</f>
        <v/>
      </c>
      <c r="I15" s="258" t="n"/>
      <c r="J15" s="259" t="n"/>
      <c r="K15" s="260" t="n"/>
      <c r="L15" s="43">
        <f>SUM(L7:L14)</f>
        <v/>
      </c>
      <c r="M15" s="44" t="n"/>
      <c r="N15" s="45">
        <f>SUM(N7:N14)</f>
        <v/>
      </c>
      <c r="O15" s="29" t="n"/>
      <c r="P15" s="32">
        <f>SUM(P7:P14)</f>
        <v/>
      </c>
    </row>
    <row r="16" ht="16.5" customHeight="1" thickTop="1">
      <c r="A16" s="191" t="n"/>
      <c r="B16" s="256" t="n"/>
      <c r="C16" s="256" t="n"/>
      <c r="D16" s="256" t="n"/>
      <c r="E16" s="256" t="n"/>
      <c r="F16" s="256" t="n"/>
      <c r="G16" s="256" t="n"/>
      <c r="H16" s="256" t="n"/>
      <c r="I16" s="256" t="n"/>
      <c r="J16" s="256" t="n"/>
      <c r="K16" s="256" t="n"/>
      <c r="L16" s="256" t="n"/>
      <c r="M16" s="256" t="n"/>
      <c r="N16" s="256" t="n"/>
      <c r="O16" s="256" t="n"/>
      <c r="P16" s="257" t="n"/>
    </row>
    <row r="17" ht="16.5" customHeight="1" thickBot="1">
      <c r="A17" s="223" t="inlineStr">
        <is>
          <t>Labour</t>
        </is>
      </c>
      <c r="B17" s="256" t="n"/>
      <c r="C17" s="256" t="n"/>
      <c r="D17" s="256" t="n"/>
      <c r="E17" s="256" t="n"/>
      <c r="F17" s="256" t="n"/>
      <c r="G17" s="256" t="n"/>
      <c r="H17" s="256" t="n"/>
      <c r="I17" s="256" t="n"/>
      <c r="J17" s="256" t="n"/>
      <c r="K17" s="256" t="n"/>
      <c r="L17" s="256" t="n"/>
      <c r="M17" s="256" t="n"/>
      <c r="N17" s="256" t="n"/>
      <c r="O17" s="256" t="n"/>
      <c r="P17" s="257" t="n"/>
    </row>
    <row r="18" ht="16.5" customHeight="1" thickTop="1">
      <c r="A18" s="191" t="n">
        <v>1</v>
      </c>
      <c r="B18" s="16" t="inlineStr">
        <is>
          <t>mob/demob</t>
        </is>
      </c>
      <c r="C18" s="2" t="n"/>
      <c r="D18" s="2" t="n"/>
      <c r="E18" s="2" t="n"/>
      <c r="F18" s="2">
        <f>C18*D18*E18</f>
        <v/>
      </c>
      <c r="G18" s="20" t="n">
        <v>110</v>
      </c>
      <c r="H18" s="46">
        <f>F18*G18</f>
        <v/>
      </c>
      <c r="I18" s="38" t="n"/>
      <c r="J18" s="39" t="n"/>
      <c r="K18" s="39" t="n"/>
      <c r="L18" s="39">
        <f>I18*J18*K18</f>
        <v/>
      </c>
      <c r="M18" s="89" t="n">
        <v>196.44</v>
      </c>
      <c r="N18" s="41">
        <f>L18*M18</f>
        <v/>
      </c>
      <c r="O18" s="2" t="n">
        <v>0.8</v>
      </c>
      <c r="P18" s="30">
        <f>H18/O18+N18/O18</f>
        <v/>
      </c>
    </row>
    <row r="19">
      <c r="A19" s="191" t="n">
        <v>2</v>
      </c>
      <c r="B19" s="16" t="inlineStr">
        <is>
          <t>Cable work</t>
        </is>
      </c>
      <c r="C19" s="2" t="n"/>
      <c r="D19" s="2" t="n"/>
      <c r="E19" s="2" t="n"/>
      <c r="F19" s="2">
        <f>C19*D19*E19</f>
        <v/>
      </c>
      <c r="G19" s="20" t="n">
        <v>110</v>
      </c>
      <c r="H19" s="46">
        <f>F19*G19</f>
        <v/>
      </c>
      <c r="I19" s="48" t="n"/>
      <c r="J19" s="24" t="n"/>
      <c r="K19" s="24" t="n"/>
      <c r="L19" s="24">
        <f>I19*J19*K19</f>
        <v/>
      </c>
      <c r="M19" s="20" t="n">
        <v>196.44</v>
      </c>
      <c r="N19" s="28">
        <f>L19*M19</f>
        <v/>
      </c>
      <c r="O19" s="2" t="n">
        <v>0.8</v>
      </c>
      <c r="P19" s="33">
        <f>H19/O19+N19/O19</f>
        <v/>
      </c>
      <c r="U19" s="18" t="n"/>
    </row>
    <row r="20">
      <c r="A20" s="191" t="n">
        <v>3</v>
      </c>
      <c r="B20" s="6" t="n"/>
      <c r="C20" s="2" t="n"/>
      <c r="D20" s="2" t="n"/>
      <c r="E20" s="2" t="n"/>
      <c r="F20" s="2">
        <f>C20*D20*E20</f>
        <v/>
      </c>
      <c r="G20" s="20" t="n">
        <v>110</v>
      </c>
      <c r="H20" s="46">
        <f>F20*G20</f>
        <v/>
      </c>
      <c r="I20" s="48" t="n"/>
      <c r="J20" s="24" t="n"/>
      <c r="K20" s="24" t="n"/>
      <c r="L20" s="24">
        <f>I20*J20*K20</f>
        <v/>
      </c>
      <c r="M20" s="20" t="n">
        <v>196.44</v>
      </c>
      <c r="N20" s="28">
        <f>L20*M20</f>
        <v/>
      </c>
      <c r="O20" s="2" t="n">
        <v>0.8</v>
      </c>
      <c r="P20" s="33">
        <f>H20/O20+N20/O20</f>
        <v/>
      </c>
      <c r="R20" s="261" t="n"/>
      <c r="U20" s="18" t="n"/>
    </row>
    <row r="21">
      <c r="A21" s="191" t="n">
        <v>4</v>
      </c>
      <c r="B21" s="6" t="n"/>
      <c r="C21" s="2" t="n"/>
      <c r="D21" s="2" t="n"/>
      <c r="E21" s="2" t="n"/>
      <c r="F21" s="2">
        <f>C21*D21*E21</f>
        <v/>
      </c>
      <c r="G21" s="20" t="n">
        <v>110</v>
      </c>
      <c r="H21" s="46">
        <f>F21*G21</f>
        <v/>
      </c>
      <c r="I21" s="48" t="n"/>
      <c r="J21" s="24" t="n"/>
      <c r="K21" s="24" t="n"/>
      <c r="L21" s="24">
        <f>I21*J21*K21</f>
        <v/>
      </c>
      <c r="M21" s="20" t="n">
        <v>196.44</v>
      </c>
      <c r="N21" s="28">
        <f>L21*M21</f>
        <v/>
      </c>
      <c r="O21" s="2" t="n">
        <v>0.8</v>
      </c>
      <c r="P21" s="33">
        <f>H21/O21+N21/O21</f>
        <v/>
      </c>
      <c r="U21" s="18" t="n"/>
    </row>
    <row r="22">
      <c r="A22" s="191" t="n">
        <v>5</v>
      </c>
      <c r="B22" s="6" t="n"/>
      <c r="C22" s="2" t="n"/>
      <c r="D22" s="2" t="n"/>
      <c r="E22" s="2" t="n"/>
      <c r="F22" s="2">
        <f>C22*D22*E22</f>
        <v/>
      </c>
      <c r="G22" s="20" t="n">
        <v>110</v>
      </c>
      <c r="H22" s="46">
        <f>F22*G22</f>
        <v/>
      </c>
      <c r="I22" s="48" t="n"/>
      <c r="J22" s="24" t="n"/>
      <c r="K22" s="24" t="n"/>
      <c r="L22" s="24">
        <f>I22*J22*K22</f>
        <v/>
      </c>
      <c r="M22" s="20" t="n">
        <v>196.44</v>
      </c>
      <c r="N22" s="28">
        <f>L22*M22</f>
        <v/>
      </c>
      <c r="O22" s="2" t="n">
        <v>0.8</v>
      </c>
      <c r="P22" s="33">
        <f>H22/O22+N22/O22</f>
        <v/>
      </c>
    </row>
    <row r="23">
      <c r="A23" s="191" t="n">
        <v>6</v>
      </c>
      <c r="B23" s="6" t="n"/>
      <c r="C23" s="2" t="n"/>
      <c r="D23" s="2" t="n"/>
      <c r="E23" s="2" t="n"/>
      <c r="F23" s="2">
        <f>C23*D23*E23</f>
        <v/>
      </c>
      <c r="G23" s="20" t="n">
        <v>110</v>
      </c>
      <c r="H23" s="46">
        <f>F23*G23</f>
        <v/>
      </c>
      <c r="I23" s="48" t="n"/>
      <c r="J23" s="24" t="n"/>
      <c r="K23" s="24" t="n"/>
      <c r="L23" s="24">
        <f>I23*J23*K23</f>
        <v/>
      </c>
      <c r="M23" s="20" t="n">
        <v>196.44</v>
      </c>
      <c r="N23" s="28">
        <f>L23*M23</f>
        <v/>
      </c>
      <c r="O23" s="2" t="n">
        <v>0.8</v>
      </c>
      <c r="P23" s="33">
        <f>H23/O23+N23/O23</f>
        <v/>
      </c>
    </row>
    <row r="24">
      <c r="A24" s="191" t="n">
        <v>7</v>
      </c>
      <c r="B24" s="6" t="n"/>
      <c r="C24" s="2" t="n"/>
      <c r="D24" s="2" t="n"/>
      <c r="E24" s="2" t="n"/>
      <c r="F24" s="2">
        <f>C24*D24*E24</f>
        <v/>
      </c>
      <c r="G24" s="20" t="n">
        <v>110</v>
      </c>
      <c r="H24" s="46">
        <f>F24*G24</f>
        <v/>
      </c>
      <c r="I24" s="48" t="n"/>
      <c r="J24" s="24" t="n"/>
      <c r="K24" s="24" t="n"/>
      <c r="L24" s="24">
        <f>I24*J24*K24</f>
        <v/>
      </c>
      <c r="M24" s="20" t="n">
        <v>196.44</v>
      </c>
      <c r="N24" s="28">
        <f>L24*M24</f>
        <v/>
      </c>
      <c r="O24" s="2" t="n">
        <v>0.8</v>
      </c>
      <c r="P24" s="33">
        <f>H24/O24+N24/O24</f>
        <v/>
      </c>
    </row>
    <row r="25">
      <c r="A25" s="191" t="n">
        <v>8</v>
      </c>
      <c r="B25" s="6" t="n"/>
      <c r="C25" s="2" t="n"/>
      <c r="D25" s="2" t="n"/>
      <c r="E25" s="2" t="n"/>
      <c r="F25" s="2">
        <f>C25*D25*E25</f>
        <v/>
      </c>
      <c r="G25" s="20" t="n">
        <v>110</v>
      </c>
      <c r="H25" s="46">
        <f>F25*G25</f>
        <v/>
      </c>
      <c r="I25" s="48" t="n"/>
      <c r="J25" s="24" t="n"/>
      <c r="K25" s="24" t="n"/>
      <c r="L25" s="24">
        <f>I25*J25*K25</f>
        <v/>
      </c>
      <c r="M25" s="20" t="n">
        <v>196.44</v>
      </c>
      <c r="N25" s="28">
        <f>L25*M25</f>
        <v/>
      </c>
      <c r="O25" s="2" t="n">
        <v>0.8</v>
      </c>
      <c r="P25" s="33">
        <f>H25/O25+N25/O25</f>
        <v/>
      </c>
    </row>
    <row r="26" ht="15.75" customHeight="1" thickBot="1">
      <c r="A26" s="223" t="inlineStr">
        <is>
          <t>Sub Total Labour</t>
        </is>
      </c>
      <c r="B26" s="256" t="n"/>
      <c r="C26" s="256" t="n"/>
      <c r="D26" s="256" t="n"/>
      <c r="E26" s="257" t="n"/>
      <c r="F26" s="3">
        <f>SUM(F18:F25)</f>
        <v/>
      </c>
      <c r="G26" s="193" t="n"/>
      <c r="H26" s="47">
        <f>SUM(H18:H25)</f>
        <v/>
      </c>
      <c r="I26" s="262" t="n"/>
      <c r="J26" s="263" t="n"/>
      <c r="K26" s="264" t="n"/>
      <c r="L26" s="86">
        <f>SUM(L18:L25)</f>
        <v/>
      </c>
      <c r="M26" s="189" t="n"/>
      <c r="N26" s="87">
        <f>SUM(N18:N25)</f>
        <v/>
      </c>
      <c r="O26" s="195" t="n"/>
      <c r="P26" s="34">
        <f>SUM(P18:P25)</f>
        <v/>
      </c>
      <c r="S26" s="8" t="n"/>
      <c r="T26" s="8" t="n"/>
    </row>
    <row r="27" ht="15.75" customFormat="1" customHeight="1" s="7" thickBot="1">
      <c r="A27" s="265" t="inlineStr">
        <is>
          <t>Subtotal Labour</t>
        </is>
      </c>
      <c r="B27" s="263" t="n"/>
      <c r="C27" s="263" t="n"/>
      <c r="D27" s="263" t="n"/>
      <c r="E27" s="264" t="n"/>
      <c r="F27" s="193">
        <f>F15+F26</f>
        <v/>
      </c>
      <c r="G27" s="266" t="n"/>
      <c r="H27" s="106">
        <f>H15+H26</f>
        <v/>
      </c>
      <c r="I27" s="267" t="n"/>
      <c r="K27" s="268" t="n"/>
      <c r="L27" s="107">
        <f>L15+L26</f>
        <v/>
      </c>
      <c r="M27" s="266" t="n"/>
      <c r="N27" s="108">
        <f>N15+N26</f>
        <v/>
      </c>
      <c r="P27" s="109">
        <f>P15+P26</f>
        <v/>
      </c>
      <c r="R27" s="104">
        <f>(N27+H27)/P27</f>
        <v/>
      </c>
      <c r="S27" s="8" t="n"/>
      <c r="T27" s="8" t="n"/>
    </row>
    <row r="28" ht="34.5" customFormat="1" customHeight="1" s="7" thickBot="1">
      <c r="A28" s="167" t="inlineStr">
        <is>
          <t>Subcontractors</t>
        </is>
      </c>
      <c r="B28" s="253" t="n"/>
      <c r="C28" s="253" t="n"/>
      <c r="D28" s="253" t="n"/>
      <c r="E28" s="253" t="n"/>
      <c r="F28" s="253" t="n"/>
      <c r="G28" s="253" t="n"/>
      <c r="H28" s="253" t="n"/>
      <c r="I28" s="253" t="n"/>
      <c r="J28" s="253" t="n"/>
      <c r="K28" s="253" t="n"/>
      <c r="L28" s="253" t="n"/>
      <c r="M28" s="253" t="n"/>
      <c r="N28" s="253" t="n"/>
      <c r="O28" s="253" t="n"/>
      <c r="P28" s="254" t="n"/>
      <c r="S28" s="8" t="n"/>
      <c r="T28" s="8" t="n"/>
      <c r="U28" s="8" t="n"/>
      <c r="V28" s="8" t="n"/>
      <c r="W28" s="8" t="n"/>
    </row>
    <row r="29" ht="19.5" customFormat="1" customHeight="1" s="7" thickBot="1">
      <c r="A29" s="85" t="inlineStr">
        <is>
          <t>Item</t>
        </is>
      </c>
      <c r="B29" s="85" t="inlineStr">
        <is>
          <t>Task</t>
        </is>
      </c>
      <c r="C29" s="83" t="inlineStr">
        <is>
          <t>Surcharge</t>
        </is>
      </c>
      <c r="D29" s="254" t="n"/>
      <c r="E29" s="83" t="inlineStr">
        <is>
          <t>Days/Units</t>
        </is>
      </c>
      <c r="F29" s="254" t="n"/>
      <c r="G29" s="84" t="inlineStr">
        <is>
          <t>Other</t>
        </is>
      </c>
      <c r="H29" s="254" t="n"/>
      <c r="I29" s="84" t="inlineStr">
        <is>
          <t>Total Surcharge</t>
        </is>
      </c>
      <c r="J29" s="254" t="n"/>
      <c r="K29" s="84" t="inlineStr">
        <is>
          <t>Unit Price</t>
        </is>
      </c>
      <c r="L29" s="254" t="n"/>
      <c r="M29" s="84" t="inlineStr">
        <is>
          <t>Subtotal 1</t>
        </is>
      </c>
      <c r="N29" s="254" t="n"/>
      <c r="O29" s="83" t="inlineStr">
        <is>
          <t>Margin</t>
        </is>
      </c>
      <c r="P29" s="174" t="inlineStr">
        <is>
          <t>Subtotal 2</t>
        </is>
      </c>
      <c r="S29" s="8" t="n"/>
      <c r="T29" s="8" t="n"/>
      <c r="U29" s="8" t="n"/>
      <c r="V29" s="8" t="n"/>
      <c r="W29" s="8" t="n"/>
    </row>
    <row r="30" ht="16.5" customFormat="1" customHeight="1" s="7" thickTop="1">
      <c r="A30" s="4" t="n">
        <v>1</v>
      </c>
      <c r="B30" s="5" t="inlineStr">
        <is>
          <t>telehandler</t>
        </is>
      </c>
      <c r="C30" s="269" t="n">
        <v>1</v>
      </c>
      <c r="D30" s="270" t="n"/>
      <c r="E30" s="269" t="n">
        <v>1</v>
      </c>
      <c r="F30" s="270" t="n"/>
      <c r="G30" s="269" t="n">
        <v>1</v>
      </c>
      <c r="H30" s="270" t="n"/>
      <c r="I30" s="271">
        <f>C30*E30*G30</f>
        <v/>
      </c>
      <c r="J30" s="272" t="n"/>
      <c r="K30" s="273" t="n"/>
      <c r="L30" s="270" t="n"/>
      <c r="M30" s="274">
        <f>K30*I30</f>
        <v/>
      </c>
      <c r="N30" s="272" t="n"/>
      <c r="O30" s="2" t="n">
        <v>0.8</v>
      </c>
      <c r="P30" s="30">
        <f>M30/O30</f>
        <v/>
      </c>
      <c r="S30" s="8" t="n"/>
      <c r="T30" s="8" t="n"/>
      <c r="U30" s="8" t="n"/>
      <c r="V30" s="8" t="n"/>
      <c r="W30" s="8" t="n"/>
    </row>
    <row r="31" customFormat="1" s="7">
      <c r="A31" s="2" t="n">
        <v>2</v>
      </c>
      <c r="B31" s="6" t="inlineStr">
        <is>
          <t>LV material and installation</t>
        </is>
      </c>
      <c r="C31" s="2" t="n"/>
      <c r="D31" s="257" t="n"/>
      <c r="E31" s="2" t="n"/>
      <c r="F31" s="257" t="n"/>
      <c r="G31" s="2" t="n"/>
      <c r="H31" s="257" t="n"/>
      <c r="I31" s="2">
        <f>C31*E31*G31</f>
        <v/>
      </c>
      <c r="J31" s="257" t="n"/>
      <c r="K31" s="275" t="n"/>
      <c r="L31" s="257" t="n"/>
      <c r="M31" s="129">
        <f>K31*I31</f>
        <v/>
      </c>
      <c r="N31" s="257" t="n"/>
      <c r="O31" s="2" t="n">
        <v>0.85</v>
      </c>
      <c r="P31" s="31">
        <f>M31/O31</f>
        <v/>
      </c>
      <c r="S31" s="8" t="n"/>
      <c r="T31" s="8" t="n"/>
      <c r="U31" s="8" t="n"/>
      <c r="V31" s="8" t="n"/>
      <c r="W31" s="8" t="n"/>
    </row>
    <row r="32" customFormat="1" s="7">
      <c r="A32" s="2" t="n">
        <v>3</v>
      </c>
      <c r="B32" s="6" t="inlineStr">
        <is>
          <t>Millwrighting</t>
        </is>
      </c>
      <c r="C32" s="2" t="n"/>
      <c r="D32" s="257" t="n"/>
      <c r="E32" s="2" t="n"/>
      <c r="F32" s="257" t="n"/>
      <c r="G32" s="2" t="n"/>
      <c r="H32" s="257" t="n"/>
      <c r="I32" s="2">
        <f>C32*E32*G32</f>
        <v/>
      </c>
      <c r="J32" s="257" t="n"/>
      <c r="K32" s="275" t="n"/>
      <c r="L32" s="257" t="n"/>
      <c r="M32" s="129">
        <f>K32*I32</f>
        <v/>
      </c>
      <c r="N32" s="257" t="n"/>
      <c r="O32" s="2" t="n">
        <v>0.85</v>
      </c>
      <c r="P32" s="31">
        <f>M32/O32</f>
        <v/>
      </c>
      <c r="S32" s="8" t="n"/>
      <c r="T32" s="8" t="n"/>
      <c r="U32" s="8" t="n"/>
      <c r="V32" s="8" t="n"/>
      <c r="W32" s="8" t="n"/>
    </row>
    <row r="33" customFormat="1" s="7">
      <c r="A33" s="2" t="n">
        <v>4</v>
      </c>
      <c r="B33" s="6" t="inlineStr">
        <is>
          <t>Temp Door</t>
        </is>
      </c>
      <c r="C33" s="2" t="n"/>
      <c r="D33" s="257" t="n"/>
      <c r="E33" s="2" t="n"/>
      <c r="F33" s="257" t="n"/>
      <c r="G33" s="2" t="n"/>
      <c r="H33" s="257" t="n"/>
      <c r="I33" s="2">
        <f>C33*E33*G33</f>
        <v/>
      </c>
      <c r="J33" s="257" t="n"/>
      <c r="K33" s="275" t="n"/>
      <c r="L33" s="257" t="n"/>
      <c r="M33" s="129">
        <f>K33*I33</f>
        <v/>
      </c>
      <c r="N33" s="257" t="n"/>
      <c r="O33" s="2" t="n">
        <v>0.85</v>
      </c>
      <c r="P33" s="31">
        <f>M33/O33</f>
        <v/>
      </c>
      <c r="S33" s="8" t="n"/>
      <c r="T33" s="8" t="n"/>
      <c r="U33" s="8" t="n"/>
      <c r="V33" s="8" t="n"/>
      <c r="W33" s="8" t="n"/>
    </row>
    <row r="34" customFormat="1" s="7">
      <c r="A34" s="2" t="n">
        <v>5</v>
      </c>
      <c r="B34" s="6" t="inlineStr">
        <is>
          <t>Bonding Costs</t>
        </is>
      </c>
      <c r="C34" s="2" t="n"/>
      <c r="D34" s="257" t="n"/>
      <c r="E34" s="2" t="n"/>
      <c r="F34" s="257" t="n"/>
      <c r="G34" s="2" t="n"/>
      <c r="H34" s="257" t="n"/>
      <c r="I34" s="2">
        <f>C34*E34*G34</f>
        <v/>
      </c>
      <c r="J34" s="257" t="n"/>
      <c r="K34" s="275" t="n"/>
      <c r="L34" s="257" t="n"/>
      <c r="M34" s="129">
        <f>K34*I34</f>
        <v/>
      </c>
      <c r="N34" s="257" t="n"/>
      <c r="O34" s="2" t="n">
        <v>0.85</v>
      </c>
      <c r="P34" s="31">
        <f>M34/O34</f>
        <v/>
      </c>
      <c r="S34" s="8" t="n"/>
      <c r="T34" s="8" t="n"/>
      <c r="U34" s="8" t="n"/>
      <c r="V34" s="8" t="n"/>
      <c r="W34" s="8" t="n"/>
    </row>
    <row r="35" customFormat="1" s="7">
      <c r="A35" s="2" t="n"/>
      <c r="B35" s="6" t="n"/>
      <c r="C35" s="2" t="n"/>
      <c r="D35" s="257" t="n"/>
      <c r="E35" s="2" t="n"/>
      <c r="F35" s="257" t="n"/>
      <c r="G35" s="2" t="n"/>
      <c r="H35" s="257" t="n"/>
      <c r="I35" s="2">
        <f>C35*E35*G35</f>
        <v/>
      </c>
      <c r="J35" s="257" t="n"/>
      <c r="K35" s="275" t="n"/>
      <c r="L35" s="257" t="n"/>
      <c r="M35" s="129">
        <f>K35*I35</f>
        <v/>
      </c>
      <c r="N35" s="257" t="n"/>
      <c r="O35" s="2" t="n">
        <v>0.85</v>
      </c>
      <c r="P35" s="31">
        <f>M35/O35</f>
        <v/>
      </c>
      <c r="S35" s="8" t="n"/>
      <c r="T35" s="8" t="n"/>
      <c r="U35" s="8" t="n"/>
      <c r="V35" s="8" t="n"/>
      <c r="W35" s="8" t="n"/>
    </row>
    <row r="36" ht="16.5" customFormat="1" customHeight="1" s="7" thickBot="1">
      <c r="A36" s="2" t="n"/>
      <c r="B36" s="6" t="n"/>
      <c r="C36" s="2" t="n"/>
      <c r="D36" s="257" t="n"/>
      <c r="E36" s="2" t="n"/>
      <c r="F36" s="257" t="n"/>
      <c r="G36" s="2" t="n"/>
      <c r="H36" s="257" t="n"/>
      <c r="I36" s="4">
        <f>C36*E36*G36</f>
        <v/>
      </c>
      <c r="J36" s="276" t="n"/>
      <c r="K36" s="275" t="n"/>
      <c r="L36" s="257" t="n"/>
      <c r="M36" s="277">
        <f>K36*I36</f>
        <v/>
      </c>
      <c r="N36" s="276" t="n"/>
      <c r="O36" s="2" t="n">
        <v>0.85</v>
      </c>
      <c r="P36" s="31">
        <f>M36/O36</f>
        <v/>
      </c>
      <c r="S36" s="8" t="n"/>
      <c r="T36" s="8" t="n"/>
      <c r="U36" s="8" t="n"/>
      <c r="V36" s="8" t="n"/>
      <c r="W36" s="8" t="n"/>
    </row>
    <row r="37" ht="15.75" customFormat="1" customHeight="1" s="7" thickBot="1">
      <c r="A37" s="155" t="inlineStr">
        <is>
          <t>Subtotal Subcontractors</t>
        </is>
      </c>
      <c r="B37" s="278" t="n"/>
      <c r="C37" s="278" t="n"/>
      <c r="D37" s="278" t="n"/>
      <c r="E37" s="278" t="n"/>
      <c r="F37" s="278" t="n"/>
      <c r="G37" s="278" t="n"/>
      <c r="H37" s="278" t="n"/>
      <c r="I37" s="278" t="n"/>
      <c r="J37" s="278" t="n"/>
      <c r="K37" s="278" t="n"/>
      <c r="L37" s="278" t="n"/>
      <c r="M37" s="277">
        <f>SUM(M30:N36)</f>
        <v/>
      </c>
      <c r="N37" s="276" t="n"/>
      <c r="O37" s="103" t="n"/>
      <c r="P37" s="32">
        <f>SUM(P30:P36)</f>
        <v/>
      </c>
      <c r="R37" s="104">
        <f>M37/P37</f>
        <v/>
      </c>
      <c r="S37" s="8" t="n"/>
      <c r="T37" s="8" t="n"/>
      <c r="U37" s="8" t="n"/>
      <c r="V37" s="8" t="n"/>
      <c r="W37" s="8" t="n"/>
    </row>
    <row r="38" ht="34.5" customHeight="1" thickBot="1">
      <c r="A38" s="167" t="inlineStr">
        <is>
          <t>Materials and Equipment</t>
        </is>
      </c>
      <c r="B38" s="253" t="n"/>
      <c r="C38" s="253" t="n"/>
      <c r="D38" s="253" t="n"/>
      <c r="E38" s="253" t="n"/>
      <c r="F38" s="253" t="n"/>
      <c r="G38" s="253" t="n"/>
      <c r="H38" s="253" t="n"/>
      <c r="I38" s="253" t="n"/>
      <c r="J38" s="253" t="n"/>
      <c r="K38" s="253" t="n"/>
      <c r="L38" s="253" t="n"/>
      <c r="M38" s="253" t="n"/>
      <c r="N38" s="253" t="n"/>
      <c r="O38" s="253" t="n"/>
      <c r="P38" s="254" t="n"/>
      <c r="S38" s="8" t="n"/>
      <c r="T38" s="8" t="n"/>
      <c r="U38" s="8" t="n"/>
      <c r="V38" s="8" t="n"/>
      <c r="W38" s="8" t="n"/>
    </row>
    <row r="39" ht="19.5" customHeight="1" thickBot="1">
      <c r="A39" s="85" t="inlineStr">
        <is>
          <t>Item</t>
        </is>
      </c>
      <c r="B39" s="85" t="inlineStr">
        <is>
          <t>Material Item</t>
        </is>
      </c>
      <c r="C39" s="83" t="inlineStr">
        <is>
          <t>Surcharge</t>
        </is>
      </c>
      <c r="D39" s="254" t="n"/>
      <c r="E39" s="83" t="inlineStr">
        <is>
          <t>Units/Length</t>
        </is>
      </c>
      <c r="F39" s="254" t="n"/>
      <c r="G39" s="84" t="inlineStr">
        <is>
          <t>Other</t>
        </is>
      </c>
      <c r="H39" s="254" t="n"/>
      <c r="I39" s="84" t="inlineStr">
        <is>
          <t>Total Surcharge</t>
        </is>
      </c>
      <c r="J39" s="254" t="n"/>
      <c r="K39" s="84" t="inlineStr">
        <is>
          <t>Unit Price</t>
        </is>
      </c>
      <c r="L39" s="254" t="n"/>
      <c r="M39" s="84" t="inlineStr">
        <is>
          <t>Subtotal 1</t>
        </is>
      </c>
      <c r="N39" s="254" t="n"/>
      <c r="O39" s="83" t="inlineStr">
        <is>
          <t>Margin</t>
        </is>
      </c>
      <c r="P39" s="174" t="inlineStr">
        <is>
          <t>Subtotal 2</t>
        </is>
      </c>
      <c r="S39" s="8" t="n"/>
      <c r="T39" s="8" t="n"/>
      <c r="U39" s="8" t="n"/>
      <c r="V39" s="8" t="n"/>
      <c r="W39" s="8" t="n"/>
    </row>
    <row r="40" ht="16.5" customHeight="1" thickTop="1">
      <c r="A40" s="4" t="n">
        <v>1</v>
      </c>
      <c r="B40" s="5" t="inlineStr">
        <is>
          <t>500-3C TECK 15KV 133% - 15% overlap SHLD</t>
        </is>
      </c>
      <c r="C40" s="271" t="n"/>
      <c r="D40" s="272" t="n"/>
      <c r="E40" s="271" t="n"/>
      <c r="F40" s="272" t="n"/>
      <c r="G40" s="271" t="n"/>
      <c r="H40" s="272" t="n"/>
      <c r="I40" s="271">
        <f>G40*E40*C40</f>
        <v/>
      </c>
      <c r="J40" s="272" t="n"/>
      <c r="K40" s="279" t="n"/>
      <c r="L40" s="272" t="n"/>
      <c r="M40" s="274">
        <f>K40*I40</f>
        <v/>
      </c>
      <c r="N40" s="272" t="n"/>
      <c r="O40" s="2" t="n">
        <v>0.88</v>
      </c>
      <c r="P40" s="35">
        <f>M40/O40</f>
        <v/>
      </c>
      <c r="S40" s="8" t="n"/>
      <c r="T40" s="8" t="n"/>
      <c r="U40" s="8" t="n"/>
      <c r="V40" s="8" t="n"/>
      <c r="W40" s="8" t="n"/>
    </row>
    <row r="41" customFormat="1" s="8">
      <c r="A41" s="4" t="n">
        <v>2</v>
      </c>
      <c r="B41" s="6" t="inlineStr">
        <is>
          <t>500-3C TECK 5KV SHLD ORANGE 133%</t>
        </is>
      </c>
      <c r="C41" s="2" t="n"/>
      <c r="D41" s="257" t="n"/>
      <c r="E41" s="2" t="n"/>
      <c r="F41" s="257" t="n"/>
      <c r="G41" s="2" t="n"/>
      <c r="H41" s="257" t="n"/>
      <c r="I41" s="2">
        <f>G41*E41*C41</f>
        <v/>
      </c>
      <c r="J41" s="257" t="n"/>
      <c r="K41" s="275" t="n"/>
      <c r="L41" s="257" t="n"/>
      <c r="M41" s="129">
        <f>K41*I41</f>
        <v/>
      </c>
      <c r="N41" s="257" t="n"/>
      <c r="O41" s="2" t="n">
        <v>0.87</v>
      </c>
      <c r="P41" s="36">
        <f>M41/O41</f>
        <v/>
      </c>
    </row>
    <row r="42" customFormat="1" s="8">
      <c r="A42" s="4" t="n">
        <v>3</v>
      </c>
      <c r="B42" s="6" t="inlineStr">
        <is>
          <t>terminations</t>
        </is>
      </c>
      <c r="C42" s="2" t="n"/>
      <c r="D42" s="257" t="n"/>
      <c r="E42" s="2" t="n"/>
      <c r="F42" s="257" t="n"/>
      <c r="G42" s="2" t="n"/>
      <c r="H42" s="257" t="n"/>
      <c r="I42" s="2">
        <f>G42*E42*C42</f>
        <v/>
      </c>
      <c r="J42" s="257" t="n"/>
      <c r="K42" s="275" t="n"/>
      <c r="L42" s="257" t="n"/>
      <c r="M42" s="129">
        <f>K42*I42</f>
        <v/>
      </c>
      <c r="N42" s="257" t="n"/>
      <c r="O42" s="2" t="n">
        <v>0.85</v>
      </c>
      <c r="P42" s="36">
        <f>M42/O42</f>
        <v/>
      </c>
    </row>
    <row r="43" customFormat="1" s="8">
      <c r="A43" s="4" t="n">
        <v>4</v>
      </c>
      <c r="B43" s="6" t="inlineStr">
        <is>
          <t>lugs</t>
        </is>
      </c>
      <c r="C43" s="2" t="n"/>
      <c r="D43" s="257" t="n"/>
      <c r="E43" s="2" t="n"/>
      <c r="F43" s="257" t="n"/>
      <c r="G43" s="2" t="n"/>
      <c r="H43" s="257" t="n"/>
      <c r="I43" s="2">
        <f>G43*E43*C43</f>
        <v/>
      </c>
      <c r="J43" s="257" t="n"/>
      <c r="K43" s="275" t="n"/>
      <c r="L43" s="257" t="n"/>
      <c r="M43" s="129">
        <f>K43*I43</f>
        <v/>
      </c>
      <c r="N43" s="257" t="n"/>
      <c r="O43" s="2" t="n">
        <v>0.85</v>
      </c>
      <c r="P43" s="36">
        <f>M43/O43</f>
        <v/>
      </c>
    </row>
    <row r="44" customFormat="1" s="8">
      <c r="A44" s="4" t="n">
        <v>5</v>
      </c>
      <c r="B44" s="6" t="n"/>
      <c r="C44" s="2" t="n"/>
      <c r="D44" s="257" t="n"/>
      <c r="E44" s="2" t="n"/>
      <c r="F44" s="257" t="n"/>
      <c r="G44" s="2" t="n"/>
      <c r="H44" s="257" t="n"/>
      <c r="I44" s="2">
        <f>G44*E44*C44</f>
        <v/>
      </c>
      <c r="J44" s="257" t="n"/>
      <c r="K44" s="275" t="n"/>
      <c r="L44" s="257" t="n"/>
      <c r="M44" s="129">
        <f>K44*I44</f>
        <v/>
      </c>
      <c r="N44" s="257" t="n"/>
      <c r="O44" s="2" t="n">
        <v>0.85</v>
      </c>
      <c r="P44" s="36">
        <f>M44/O44</f>
        <v/>
      </c>
    </row>
    <row r="45" customFormat="1" s="8">
      <c r="A45" s="4" t="n">
        <v>18</v>
      </c>
      <c r="B45" s="13" t="inlineStr">
        <is>
          <t>AS-7096N Sealant</t>
        </is>
      </c>
      <c r="C45" s="2" t="n"/>
      <c r="D45" s="257" t="n"/>
      <c r="E45" s="2" t="n"/>
      <c r="F45" s="257" t="n"/>
      <c r="G45" s="2" t="n"/>
      <c r="H45" s="257" t="n"/>
      <c r="I45" s="2">
        <f>G45*E45*C45</f>
        <v/>
      </c>
      <c r="J45" s="257" t="n"/>
      <c r="K45" s="275" t="n"/>
      <c r="L45" s="257" t="n"/>
      <c r="M45" s="129">
        <f>K45*I45</f>
        <v/>
      </c>
      <c r="N45" s="257" t="n"/>
      <c r="O45" s="2" t="n">
        <v>0.85</v>
      </c>
      <c r="P45" s="36">
        <f>M45/O45</f>
        <v/>
      </c>
    </row>
    <row r="46" customFormat="1" s="8">
      <c r="A46" s="4" t="n">
        <v>19</v>
      </c>
      <c r="B46" s="13" t="inlineStr">
        <is>
          <t>Breaker HLL36060</t>
        </is>
      </c>
      <c r="C46" s="2" t="n"/>
      <c r="D46" s="257" t="n"/>
      <c r="E46" s="2" t="n"/>
      <c r="F46" s="257" t="n"/>
      <c r="G46" s="2" t="n"/>
      <c r="H46" s="257" t="n"/>
      <c r="I46" s="2">
        <f>G46*E46*C46</f>
        <v/>
      </c>
      <c r="J46" s="257" t="n"/>
      <c r="K46" s="275" t="n"/>
      <c r="L46" s="257" t="n"/>
      <c r="M46" s="129">
        <f>K46*I46</f>
        <v/>
      </c>
      <c r="N46" s="257" t="n"/>
      <c r="O46" s="2" t="n">
        <v>0.85</v>
      </c>
      <c r="P46" s="36">
        <f>M46/O46</f>
        <v/>
      </c>
    </row>
    <row r="47" ht="31.5" customFormat="1" customHeight="1" s="8">
      <c r="A47" s="4" t="n">
        <v>20</v>
      </c>
      <c r="B47" s="13" t="inlineStr">
        <is>
          <t>Pull Box, EEMAC-1 300mX300mmX150mm (P/N: CS12126)</t>
        </is>
      </c>
      <c r="C47" s="2" t="n"/>
      <c r="D47" s="257" t="n"/>
      <c r="E47" s="2" t="n"/>
      <c r="F47" s="257" t="n"/>
      <c r="G47" s="2" t="n"/>
      <c r="H47" s="257" t="n"/>
      <c r="I47" s="2">
        <f>G47*E47*C47</f>
        <v/>
      </c>
      <c r="J47" s="257" t="n"/>
      <c r="K47" s="275" t="n"/>
      <c r="L47" s="257" t="n"/>
      <c r="M47" s="129">
        <f>K47*I47</f>
        <v/>
      </c>
      <c r="N47" s="257" t="n"/>
      <c r="O47" s="2" t="n">
        <v>0.85</v>
      </c>
      <c r="P47" s="36">
        <f>M47/O47</f>
        <v/>
      </c>
    </row>
    <row r="48" customFormat="1" s="8">
      <c r="A48" s="4" t="n">
        <v>27</v>
      </c>
      <c r="B48" s="13" t="inlineStr">
        <is>
          <t>Aluminum Bracket (Aluma Form)</t>
        </is>
      </c>
      <c r="C48" s="2" t="n"/>
      <c r="D48" s="257" t="n"/>
      <c r="E48" s="2" t="n"/>
      <c r="F48" s="257" t="n"/>
      <c r="G48" s="2" t="n"/>
      <c r="H48" s="257" t="n"/>
      <c r="I48" s="2">
        <f>G48*E48*C48</f>
        <v/>
      </c>
      <c r="J48" s="257" t="n"/>
      <c r="K48" s="275" t="n"/>
      <c r="L48" s="257" t="n"/>
      <c r="M48" s="129">
        <f>K48*I48</f>
        <v/>
      </c>
      <c r="N48" s="257" t="n"/>
      <c r="O48" s="2" t="n">
        <v>0.85</v>
      </c>
      <c r="P48" s="36">
        <f>M48/O48</f>
        <v/>
      </c>
    </row>
    <row r="49">
      <c r="A49" s="4" t="n">
        <v>28</v>
      </c>
      <c r="B49" s="6" t="n"/>
      <c r="C49" s="2" t="n"/>
      <c r="D49" s="257" t="n"/>
      <c r="E49" s="2" t="n"/>
      <c r="F49" s="257" t="n"/>
      <c r="G49" s="2" t="n"/>
      <c r="H49" s="257" t="n"/>
      <c r="I49" s="2">
        <f>G49*E49*C49</f>
        <v/>
      </c>
      <c r="J49" s="257" t="n"/>
      <c r="K49" s="275" t="n"/>
      <c r="L49" s="257" t="n"/>
      <c r="M49" s="129">
        <f>K49*I49</f>
        <v/>
      </c>
      <c r="N49" s="257" t="n"/>
      <c r="O49" s="2" t="n">
        <v>0.85</v>
      </c>
      <c r="P49" s="36">
        <f>M49/O49</f>
        <v/>
      </c>
      <c r="S49" s="8" t="n"/>
      <c r="T49" s="8" t="n"/>
      <c r="U49" s="8" t="n"/>
      <c r="V49" s="8" t="n"/>
      <c r="W49" s="8" t="n"/>
    </row>
    <row r="50" ht="16.5" customHeight="1" thickBot="1">
      <c r="A50" s="4" t="n">
        <v>29</v>
      </c>
      <c r="B50" s="1" t="n"/>
      <c r="C50" s="2" t="n"/>
      <c r="D50" s="257" t="n"/>
      <c r="E50" s="2" t="n"/>
      <c r="F50" s="257" t="n"/>
      <c r="G50" s="2" t="n"/>
      <c r="H50" s="257" t="n"/>
      <c r="I50" s="2">
        <f>G50*E50*C50</f>
        <v/>
      </c>
      <c r="J50" s="257" t="n"/>
      <c r="K50" s="275" t="n"/>
      <c r="L50" s="257" t="n"/>
      <c r="M50" s="129">
        <f>K50*I50</f>
        <v/>
      </c>
      <c r="N50" s="257" t="n"/>
      <c r="O50" s="2" t="n">
        <v>0.85</v>
      </c>
      <c r="P50" s="36">
        <f>M50/O50</f>
        <v/>
      </c>
      <c r="S50" s="8" t="n"/>
      <c r="T50" s="14" t="n"/>
      <c r="U50" s="8" t="n"/>
      <c r="V50" s="8" t="n"/>
      <c r="W50" s="8" t="n"/>
    </row>
    <row r="51" ht="16.5" customFormat="1" customHeight="1" s="7" thickBot="1">
      <c r="A51" s="127" t="inlineStr">
        <is>
          <t>Subtotal Materials and Equipment</t>
        </is>
      </c>
      <c r="B51" s="256" t="n"/>
      <c r="C51" s="256" t="n"/>
      <c r="D51" s="256" t="n"/>
      <c r="E51" s="256" t="n"/>
      <c r="F51" s="256" t="n"/>
      <c r="G51" s="256" t="n"/>
      <c r="H51" s="256" t="n"/>
      <c r="I51" s="256" t="n"/>
      <c r="J51" s="256" t="n"/>
      <c r="K51" s="256" t="n"/>
      <c r="L51" s="256" t="n"/>
      <c r="M51" s="129">
        <f>SUM(M40:N50)</f>
        <v/>
      </c>
      <c r="N51" s="257" t="n"/>
      <c r="O51" s="128" t="n"/>
      <c r="P51" s="37">
        <f>SUM(P40:P50)</f>
        <v/>
      </c>
      <c r="R51" s="104">
        <f>M51/P51</f>
        <v/>
      </c>
      <c r="S51" s="8" t="n"/>
      <c r="T51" s="8" t="n"/>
      <c r="U51" s="8" t="n"/>
      <c r="V51" s="8" t="n"/>
      <c r="W51" s="8" t="n"/>
    </row>
    <row r="52" ht="16.5" customHeight="1" thickTop="1">
      <c r="A52" s="100" t="n"/>
      <c r="B52" s="263" t="n"/>
      <c r="C52" s="263" t="n"/>
      <c r="D52" s="263" t="n"/>
      <c r="E52" s="263" t="n"/>
      <c r="F52" s="263" t="n"/>
      <c r="G52" s="263" t="n"/>
      <c r="H52" s="263" t="n"/>
      <c r="I52" s="263" t="n"/>
      <c r="J52" s="263" t="n"/>
      <c r="K52" s="263" t="n"/>
      <c r="L52" s="263" t="n"/>
      <c r="M52" s="263" t="n"/>
      <c r="N52" s="263" t="n"/>
      <c r="O52" s="263" t="n"/>
      <c r="P52" s="264" t="n"/>
      <c r="S52" s="8" t="n"/>
      <c r="T52" s="8" t="n"/>
      <c r="U52" s="8" t="n"/>
      <c r="V52" s="8" t="n"/>
      <c r="W52" s="8" t="n"/>
    </row>
    <row r="53">
      <c r="A53" s="280" t="n"/>
      <c r="B53" s="281" t="n"/>
      <c r="C53" s="281" t="n"/>
      <c r="D53" s="281" t="n"/>
      <c r="E53" s="281" t="n"/>
      <c r="F53" s="281" t="n"/>
      <c r="G53" s="281" t="n"/>
      <c r="H53" s="281" t="n"/>
      <c r="I53" s="281" t="n"/>
      <c r="J53" s="281" t="n"/>
      <c r="K53" s="281" t="n"/>
      <c r="L53" s="281" t="n"/>
      <c r="M53" s="281" t="n"/>
      <c r="N53" s="281" t="n"/>
      <c r="O53" s="281" t="n"/>
      <c r="P53" s="276" t="n"/>
      <c r="S53" s="8" t="n"/>
      <c r="T53" s="8" t="n"/>
      <c r="U53" s="8" t="n"/>
      <c r="V53" s="8" t="n"/>
      <c r="W53" s="8" t="n"/>
    </row>
    <row r="54">
      <c r="A54" s="205" t="inlineStr">
        <is>
          <t>Project Subtotal</t>
        </is>
      </c>
      <c r="B54" s="256" t="n"/>
      <c r="C54" s="256" t="n"/>
      <c r="D54" s="256" t="n"/>
      <c r="E54" s="256" t="n"/>
      <c r="F54" s="256" t="n"/>
      <c r="G54" s="256" t="n"/>
      <c r="H54" s="256" t="n"/>
      <c r="I54" s="256" t="n"/>
      <c r="J54" s="256" t="n"/>
      <c r="K54" s="256" t="n"/>
      <c r="L54" s="256" t="n"/>
      <c r="M54" s="256" t="n"/>
      <c r="N54" s="256" t="n"/>
      <c r="O54" s="257" t="n"/>
      <c r="P54" s="21">
        <f>P27+P37+P51</f>
        <v/>
      </c>
      <c r="S54" s="8" t="n"/>
      <c r="T54" s="8" t="n"/>
      <c r="U54" s="8" t="n"/>
      <c r="V54" s="8" t="n"/>
      <c r="W54" s="8" t="n"/>
    </row>
    <row r="55">
      <c r="A55" s="205" t="n"/>
      <c r="B55" s="256" t="n"/>
      <c r="C55" s="256" t="n"/>
      <c r="D55" s="256" t="n"/>
      <c r="E55" s="256" t="n"/>
      <c r="F55" s="256" t="n"/>
      <c r="G55" s="256" t="n"/>
      <c r="H55" s="256" t="n"/>
      <c r="I55" s="256" t="n"/>
      <c r="J55" s="256" t="n"/>
      <c r="K55" s="256" t="n"/>
      <c r="L55" s="256" t="n"/>
      <c r="M55" s="256" t="n"/>
      <c r="N55" s="256" t="n"/>
      <c r="O55" s="256" t="n"/>
      <c r="P55" s="257" t="n"/>
      <c r="S55" s="8" t="n"/>
      <c r="T55" s="8" t="n"/>
      <c r="U55" s="8" t="n"/>
      <c r="V55" s="8" t="n"/>
      <c r="W55" s="8" t="n"/>
    </row>
    <row r="56">
      <c r="A56" s="205" t="inlineStr">
        <is>
          <t>Cash Allowance</t>
        </is>
      </c>
      <c r="B56" s="256" t="n"/>
      <c r="C56" s="256" t="n"/>
      <c r="D56" s="256" t="n"/>
      <c r="E56" s="256" t="n"/>
      <c r="F56" s="256" t="n"/>
      <c r="G56" s="256" t="n"/>
      <c r="H56" s="256" t="n"/>
      <c r="I56" s="256" t="n"/>
      <c r="J56" s="256" t="n"/>
      <c r="K56" s="256" t="n"/>
      <c r="L56" s="256" t="n"/>
      <c r="M56" s="256" t="n"/>
      <c r="N56" s="256" t="n"/>
      <c r="O56" s="257" t="n"/>
      <c r="P56" s="21" t="n">
        <v>0</v>
      </c>
      <c r="S56" s="8" t="n"/>
      <c r="T56" s="8" t="n"/>
      <c r="U56" s="8" t="n"/>
      <c r="V56" s="8" t="n"/>
      <c r="W56" s="8" t="n"/>
    </row>
    <row r="57">
      <c r="A57" s="205" t="n"/>
      <c r="B57" s="256" t="n"/>
      <c r="C57" s="256" t="n"/>
      <c r="D57" s="256" t="n"/>
      <c r="E57" s="256" t="n"/>
      <c r="F57" s="256" t="n"/>
      <c r="G57" s="256" t="n"/>
      <c r="H57" s="256" t="n"/>
      <c r="I57" s="256" t="n"/>
      <c r="J57" s="256" t="n"/>
      <c r="K57" s="256" t="n"/>
      <c r="L57" s="256" t="n"/>
      <c r="M57" s="256" t="n"/>
      <c r="N57" s="256" t="n"/>
      <c r="O57" s="256" t="n"/>
      <c r="P57" s="257" t="n"/>
      <c r="S57" s="8" t="n"/>
      <c r="T57" s="8" t="n"/>
      <c r="U57" s="8" t="n"/>
      <c r="V57" s="8" t="n"/>
      <c r="W57" s="8" t="n"/>
    </row>
    <row r="58">
      <c r="A58" s="205" t="inlineStr">
        <is>
          <t>Utility Isolation</t>
        </is>
      </c>
      <c r="B58" s="256" t="n"/>
      <c r="C58" s="256" t="n"/>
      <c r="D58" s="256" t="n"/>
      <c r="E58" s="256" t="n"/>
      <c r="F58" s="256" t="n"/>
      <c r="G58" s="256" t="n"/>
      <c r="H58" s="256" t="n"/>
      <c r="I58" s="256" t="n"/>
      <c r="J58" s="256" t="n"/>
      <c r="K58" s="256" t="n"/>
      <c r="L58" s="256" t="n"/>
      <c r="M58" s="256" t="n"/>
      <c r="N58" s="256" t="n"/>
      <c r="O58" s="257" t="n"/>
      <c r="P58" s="21" t="n">
        <v>0</v>
      </c>
      <c r="S58" s="8" t="n"/>
      <c r="T58" s="8" t="n"/>
      <c r="U58" s="8" t="n"/>
      <c r="V58" s="8" t="n"/>
      <c r="W58" s="8" t="n"/>
    </row>
    <row r="59">
      <c r="A59" s="205" t="n"/>
      <c r="B59" s="256" t="n"/>
      <c r="C59" s="256" t="n"/>
      <c r="D59" s="256" t="n"/>
      <c r="E59" s="256" t="n"/>
      <c r="F59" s="256" t="n"/>
      <c r="G59" s="256" t="n"/>
      <c r="H59" s="256" t="n"/>
      <c r="I59" s="256" t="n"/>
      <c r="J59" s="256" t="n"/>
      <c r="K59" s="256" t="n"/>
      <c r="L59" s="256" t="n"/>
      <c r="M59" s="256" t="n"/>
      <c r="N59" s="256" t="n"/>
      <c r="O59" s="256" t="n"/>
      <c r="P59" s="257" t="n"/>
      <c r="S59" s="8" t="n"/>
      <c r="T59" s="8" t="n"/>
      <c r="U59" s="8" t="n"/>
      <c r="V59" s="8" t="n"/>
      <c r="W59" s="8" t="n"/>
    </row>
    <row r="60">
      <c r="A60" s="118" t="inlineStr">
        <is>
          <t>Discount</t>
        </is>
      </c>
      <c r="B60" s="256" t="n"/>
      <c r="C60" s="256" t="n"/>
      <c r="D60" s="256" t="n"/>
      <c r="E60" s="256" t="n"/>
      <c r="F60" s="256" t="n"/>
      <c r="G60" s="256" t="n"/>
      <c r="H60" s="256" t="n"/>
      <c r="I60" s="256" t="n"/>
      <c r="J60" s="256" t="n"/>
      <c r="K60" s="256" t="n"/>
      <c r="L60" s="256" t="n"/>
      <c r="M60" s="256" t="n"/>
      <c r="N60" s="256" t="n"/>
      <c r="O60" s="257" t="n"/>
      <c r="P60" s="22" t="n">
        <v>0</v>
      </c>
      <c r="S60" s="8" t="n"/>
      <c r="T60" s="8" t="n"/>
      <c r="U60" s="8" t="n"/>
      <c r="V60" s="8" t="n"/>
      <c r="W60" s="8" t="n"/>
    </row>
    <row r="61">
      <c r="A61" s="282" t="n"/>
      <c r="B61" s="256" t="n"/>
      <c r="C61" s="256" t="n"/>
      <c r="D61" s="256" t="n"/>
      <c r="E61" s="256" t="n"/>
      <c r="F61" s="256" t="n"/>
      <c r="G61" s="256" t="n"/>
      <c r="H61" s="256" t="n"/>
      <c r="I61" s="256" t="n"/>
      <c r="J61" s="256" t="n"/>
      <c r="K61" s="256" t="n"/>
      <c r="L61" s="256" t="n"/>
      <c r="M61" s="256" t="n"/>
      <c r="N61" s="256" t="n"/>
      <c r="O61" s="256" t="n"/>
      <c r="P61" s="257" t="n"/>
      <c r="S61" s="8" t="n"/>
      <c r="T61" s="8" t="n"/>
      <c r="U61" s="8" t="n"/>
      <c r="V61" s="8" t="n"/>
      <c r="W61" s="8" t="n"/>
    </row>
    <row r="62">
      <c r="A62" s="205" t="inlineStr">
        <is>
          <t>Project Total</t>
        </is>
      </c>
      <c r="B62" s="256" t="n"/>
      <c r="C62" s="256" t="n"/>
      <c r="D62" s="256" t="n"/>
      <c r="E62" s="256" t="n"/>
      <c r="F62" s="256" t="n"/>
      <c r="G62" s="256" t="n"/>
      <c r="H62" s="256" t="n"/>
      <c r="I62" s="256" t="n"/>
      <c r="J62" s="256" t="n"/>
      <c r="K62" s="256" t="n"/>
      <c r="L62" s="256" t="n"/>
      <c r="M62" s="256" t="n"/>
      <c r="N62" s="256" t="n"/>
      <c r="O62" s="257" t="n"/>
      <c r="P62" s="21">
        <f>SUM(P54,P56,P58, P60)</f>
        <v/>
      </c>
      <c r="S62" s="8" t="n"/>
      <c r="T62" s="14" t="n"/>
      <c r="U62" s="8" t="n"/>
      <c r="V62" s="8" t="n"/>
      <c r="W62" s="8" t="n"/>
    </row>
    <row r="63">
      <c r="A63" s="205" t="inlineStr">
        <is>
          <t>HST</t>
        </is>
      </c>
      <c r="B63" s="256" t="n"/>
      <c r="C63" s="256" t="n"/>
      <c r="D63" s="256" t="n"/>
      <c r="E63" s="256" t="n"/>
      <c r="F63" s="256" t="n"/>
      <c r="G63" s="256" t="n"/>
      <c r="H63" s="256" t="n"/>
      <c r="I63" s="256" t="n"/>
      <c r="J63" s="256" t="n"/>
      <c r="K63" s="256" t="n"/>
      <c r="L63" s="256" t="n"/>
      <c r="M63" s="256" t="n"/>
      <c r="N63" s="256" t="n"/>
      <c r="O63" s="257" t="n"/>
      <c r="P63" s="21">
        <f>P62*0.13</f>
        <v/>
      </c>
    </row>
    <row r="64">
      <c r="A64" s="205" t="inlineStr">
        <is>
          <t>TOTAL</t>
        </is>
      </c>
      <c r="B64" s="256" t="n"/>
      <c r="C64" s="256" t="n"/>
      <c r="D64" s="256" t="n"/>
      <c r="E64" s="256" t="n"/>
      <c r="F64" s="256" t="n"/>
      <c r="G64" s="256" t="n"/>
      <c r="H64" s="256" t="n"/>
      <c r="I64" s="256" t="n"/>
      <c r="J64" s="256" t="n"/>
      <c r="K64" s="256" t="n"/>
      <c r="L64" s="256" t="n"/>
      <c r="M64" s="256" t="n"/>
      <c r="N64" s="256" t="n"/>
      <c r="O64" s="257" t="n"/>
      <c r="P64" s="21">
        <f>P62+P63</f>
        <v/>
      </c>
    </row>
    <row r="65">
      <c r="A65" s="12" t="inlineStr">
        <is>
          <t>HST Check for final price should be the same as above</t>
        </is>
      </c>
      <c r="P65" s="15">
        <f>P62*1.13</f>
        <v/>
      </c>
    </row>
    <row r="70" ht="21" customHeight="1">
      <c r="C70" s="197" t="n">
        <v>2026</v>
      </c>
    </row>
    <row r="71" ht="16.5" customHeight="1" thickBot="1">
      <c r="F71" s="7" t="n"/>
      <c r="G71" s="82" t="n"/>
    </row>
    <row r="72" ht="32.25" customHeight="1" thickBot="1">
      <c r="B72" s="12" t="inlineStr">
        <is>
          <t>APS (Cost)</t>
        </is>
      </c>
      <c r="C72" s="200" t="inlineStr">
        <is>
          <t>Regular</t>
        </is>
      </c>
      <c r="D72" s="200" t="inlineStr">
        <is>
          <t>Regular W/truck</t>
        </is>
      </c>
      <c r="E72" s="254" t="n"/>
      <c r="F72" s="98" t="inlineStr">
        <is>
          <t>Double Time</t>
        </is>
      </c>
      <c r="G72" s="98" t="inlineStr">
        <is>
          <t>Double Time W/truck</t>
        </is>
      </c>
      <c r="H72" s="99" t="inlineStr">
        <is>
          <t>Shift 20%</t>
        </is>
      </c>
      <c r="I72" s="99" t="inlineStr">
        <is>
          <t>Shift 20% W/truck</t>
        </is>
      </c>
    </row>
    <row r="73">
      <c r="B73" s="82" t="inlineStr">
        <is>
          <t xml:space="preserve">FOREMAN                                          </t>
        </is>
      </c>
      <c r="C73" s="283" t="n">
        <v>102</v>
      </c>
      <c r="D73" s="283">
        <f>C73+18.5</f>
        <v/>
      </c>
      <c r="E73" s="276" t="n"/>
      <c r="F73" s="284" t="n">
        <v>203.99</v>
      </c>
      <c r="G73" s="284">
        <f>F73+18.5</f>
        <v/>
      </c>
      <c r="H73" s="285" t="n">
        <v>122.38</v>
      </c>
      <c r="I73" s="286">
        <f>H73+18.5</f>
        <v/>
      </c>
      <c r="J73" s="261" t="n"/>
      <c r="K73" s="261" t="n"/>
      <c r="L73" s="261" t="n"/>
      <c r="N73" s="287" t="n"/>
    </row>
    <row r="74">
      <c r="B74" s="82" t="inlineStr">
        <is>
          <t xml:space="preserve">JOURNEYMAN                                 </t>
        </is>
      </c>
      <c r="C74" s="288" t="n">
        <v>90.93000000000001</v>
      </c>
      <c r="D74" s="288">
        <f>C74+18.5</f>
        <v/>
      </c>
      <c r="E74" s="257" t="n"/>
      <c r="F74" s="289" t="n">
        <v>181.86</v>
      </c>
      <c r="G74" s="284">
        <f>F74+18.5</f>
        <v/>
      </c>
      <c r="H74" s="290" t="n">
        <v>109.13</v>
      </c>
      <c r="I74" s="286">
        <f>H74+18.5</f>
        <v/>
      </c>
      <c r="J74" s="261" t="n"/>
      <c r="K74" s="261" t="n"/>
      <c r="L74" s="261" t="n"/>
      <c r="N74" s="287" t="n"/>
    </row>
    <row r="75">
      <c r="B75" s="82" t="inlineStr">
        <is>
          <t xml:space="preserve">APPRENTICE #5                                </t>
        </is>
      </c>
      <c r="C75" s="288" t="n">
        <v>74.01000000000001</v>
      </c>
      <c r="D75" s="288">
        <f>C75+18.5</f>
        <v/>
      </c>
      <c r="E75" s="257" t="n"/>
      <c r="F75" s="289" t="n">
        <v>147.98</v>
      </c>
      <c r="G75" s="284">
        <f>F75+18.5</f>
        <v/>
      </c>
      <c r="H75" s="290" t="n">
        <v>88.78</v>
      </c>
      <c r="I75" s="286">
        <f>H75+18.5</f>
        <v/>
      </c>
      <c r="J75" s="261" t="n"/>
      <c r="K75" s="261" t="n"/>
      <c r="L75" s="261" t="n"/>
      <c r="N75" s="287" t="n"/>
    </row>
    <row r="76">
      <c r="B76" s="82" t="inlineStr">
        <is>
          <t xml:space="preserve">APPRENTICE #4                                </t>
        </is>
      </c>
      <c r="C76" s="288" t="n">
        <v>65.65000000000001</v>
      </c>
      <c r="D76" s="288">
        <f>C76+18.5</f>
        <v/>
      </c>
      <c r="E76" s="257" t="n"/>
      <c r="F76" s="289" t="n">
        <v>131.3</v>
      </c>
      <c r="G76" s="284">
        <f>F76+18.5</f>
        <v/>
      </c>
      <c r="H76" s="290" t="n">
        <v>78.79000000000001</v>
      </c>
      <c r="I76" s="286">
        <f>H76+18.5</f>
        <v/>
      </c>
      <c r="J76" s="261" t="n"/>
      <c r="K76" s="261" t="n"/>
      <c r="L76" s="261" t="n"/>
      <c r="N76" s="287" t="n"/>
    </row>
    <row r="77">
      <c r="B77" s="82" t="inlineStr">
        <is>
          <t xml:space="preserve">APPRENTICE #3                              </t>
        </is>
      </c>
      <c r="C77" s="288" t="n">
        <v>57.28</v>
      </c>
      <c r="D77" s="288">
        <f>C77+18.5</f>
        <v/>
      </c>
      <c r="E77" s="257" t="n"/>
      <c r="F77" s="289" t="n">
        <v>114.57</v>
      </c>
      <c r="G77" s="284">
        <f>F77+18.5</f>
        <v/>
      </c>
      <c r="H77" s="290" t="n">
        <v>68.73999999999999</v>
      </c>
      <c r="I77" s="286">
        <f>H77+18.5</f>
        <v/>
      </c>
      <c r="J77" s="261" t="n"/>
      <c r="K77" s="261" t="n"/>
      <c r="L77" s="261" t="n"/>
      <c r="N77" s="287" t="n"/>
    </row>
    <row r="78">
      <c r="B78" s="82" t="inlineStr">
        <is>
          <t xml:space="preserve">APPRENTICE #2                                 </t>
        </is>
      </c>
      <c r="C78" s="288" t="n">
        <v>48.95</v>
      </c>
      <c r="D78" s="288">
        <f>C78+18.5</f>
        <v/>
      </c>
      <c r="E78" s="257" t="n"/>
      <c r="F78" s="289" t="n">
        <v>97.84999999999999</v>
      </c>
      <c r="G78" s="284">
        <f>F78+18.5</f>
        <v/>
      </c>
      <c r="H78" s="290" t="n">
        <v>58.71</v>
      </c>
      <c r="I78" s="286">
        <f>H78+18.5</f>
        <v/>
      </c>
      <c r="J78" s="261" t="n"/>
      <c r="K78" s="261" t="n"/>
      <c r="L78" s="261" t="n"/>
      <c r="N78" s="287" t="n"/>
    </row>
    <row r="79">
      <c r="B79" s="82" t="inlineStr">
        <is>
          <t xml:space="preserve">APPRENTICE #1                                 </t>
        </is>
      </c>
      <c r="C79" s="288" t="n">
        <v>40.57</v>
      </c>
      <c r="D79" s="288">
        <f>C79+18.5</f>
        <v/>
      </c>
      <c r="E79" s="257" t="n"/>
      <c r="F79" s="289" t="n">
        <v>81.15000000000001</v>
      </c>
      <c r="G79" s="284">
        <f>F79+18.5</f>
        <v/>
      </c>
      <c r="H79" s="290" t="n">
        <v>48.69</v>
      </c>
      <c r="I79" s="286">
        <f>H79+18.5</f>
        <v/>
      </c>
      <c r="J79" s="261" t="n"/>
      <c r="K79" s="261" t="n"/>
      <c r="L79" s="261" t="n"/>
      <c r="N79" s="287" t="n"/>
    </row>
    <row r="80">
      <c r="B80" s="82" t="inlineStr">
        <is>
          <t>pre apprentice</t>
        </is>
      </c>
      <c r="C80" s="288" t="n">
        <v>32.43</v>
      </c>
      <c r="D80" s="288">
        <f>C80+18.5</f>
        <v/>
      </c>
      <c r="E80" s="257" t="n"/>
      <c r="F80" s="289" t="n">
        <v>64.86</v>
      </c>
      <c r="G80" s="284">
        <f>F80+18.5</f>
        <v/>
      </c>
      <c r="H80" s="290" t="n">
        <v>38.92</v>
      </c>
      <c r="I80" s="286">
        <f>H80+18.5</f>
        <v/>
      </c>
      <c r="J80" s="261" t="n"/>
      <c r="K80" s="261" t="n"/>
      <c r="L80" s="261" t="n"/>
      <c r="N80" s="287" t="n"/>
    </row>
    <row r="81" ht="16.5" customHeight="1" thickBot="1">
      <c r="D81" s="291" t="n"/>
      <c r="E81" s="268" t="n"/>
      <c r="N81" s="110" t="n"/>
    </row>
    <row r="82" ht="32.25" customHeight="1" thickBot="1">
      <c r="B82" s="12" t="inlineStr">
        <is>
          <t>APS (Sell)</t>
        </is>
      </c>
      <c r="C82" s="200" t="inlineStr">
        <is>
          <t>Regular</t>
        </is>
      </c>
      <c r="D82" s="200" t="inlineStr">
        <is>
          <t>Regular W/truck</t>
        </is>
      </c>
      <c r="E82" s="254" t="n"/>
      <c r="F82" s="98" t="inlineStr">
        <is>
          <t>Double Time</t>
        </is>
      </c>
      <c r="G82" s="98" t="inlineStr">
        <is>
          <t>Double Time W/truck</t>
        </is>
      </c>
      <c r="H82" s="99" t="inlineStr">
        <is>
          <t>Shift 20%</t>
        </is>
      </c>
      <c r="I82" s="99" t="inlineStr">
        <is>
          <t>Shift 20% W/truck</t>
        </is>
      </c>
      <c r="K82" s="100" t="inlineStr">
        <is>
          <t>Margin</t>
        </is>
      </c>
    </row>
    <row r="83">
      <c r="B83" s="82" t="inlineStr">
        <is>
          <t xml:space="preserve">FOREMAN                                          </t>
        </is>
      </c>
      <c r="C83" s="292">
        <f>C73/$K$83</f>
        <v/>
      </c>
      <c r="D83" s="293">
        <f>D73/$K$83</f>
        <v/>
      </c>
      <c r="E83" s="272" t="n"/>
      <c r="F83" s="292">
        <f>F73/$K$83</f>
        <v/>
      </c>
      <c r="G83" s="292">
        <f>G73/$K$83</f>
        <v/>
      </c>
      <c r="H83" s="292">
        <f>H73/$K$83</f>
        <v/>
      </c>
      <c r="I83" s="292">
        <f>I73/$K$83</f>
        <v/>
      </c>
      <c r="K83" s="2" t="n">
        <v>0.8</v>
      </c>
    </row>
    <row r="84">
      <c r="B84" s="82" t="inlineStr">
        <is>
          <t xml:space="preserve">JOURNEYMAN                                 </t>
        </is>
      </c>
      <c r="C84" s="292">
        <f>C74/$K$83</f>
        <v/>
      </c>
      <c r="D84" s="288">
        <f>D74/$K$83</f>
        <v/>
      </c>
      <c r="E84" s="257" t="n"/>
      <c r="F84" s="292">
        <f>F74/$K$83</f>
        <v/>
      </c>
      <c r="G84" s="292">
        <f>G74/$K$83</f>
        <v/>
      </c>
      <c r="H84" s="292">
        <f>H74/$K$83</f>
        <v/>
      </c>
      <c r="I84" s="292">
        <f>I74/$K$83</f>
        <v/>
      </c>
    </row>
    <row r="85">
      <c r="B85" s="82" t="inlineStr">
        <is>
          <t xml:space="preserve">APPRENTICE #5                                </t>
        </is>
      </c>
      <c r="C85" s="292">
        <f>C75/$K$83</f>
        <v/>
      </c>
      <c r="D85" s="288">
        <f>D75/$K$83</f>
        <v/>
      </c>
      <c r="E85" s="257" t="n"/>
      <c r="F85" s="292">
        <f>F75/$K$83</f>
        <v/>
      </c>
      <c r="G85" s="292">
        <f>G75/$K$83</f>
        <v/>
      </c>
      <c r="H85" s="292">
        <f>H75/$K$83</f>
        <v/>
      </c>
      <c r="I85" s="292">
        <f>I75/$K$83</f>
        <v/>
      </c>
    </row>
    <row r="86">
      <c r="B86" s="82" t="inlineStr">
        <is>
          <t xml:space="preserve">APPRENTICE #4                                </t>
        </is>
      </c>
      <c r="C86" s="292">
        <f>C76/$K$83</f>
        <v/>
      </c>
      <c r="D86" s="288">
        <f>D76/$K$83</f>
        <v/>
      </c>
      <c r="E86" s="257" t="n"/>
      <c r="F86" s="292">
        <f>F76/$K$83</f>
        <v/>
      </c>
      <c r="G86" s="292">
        <f>G76/$K$83</f>
        <v/>
      </c>
      <c r="H86" s="292">
        <f>H76/$K$83</f>
        <v/>
      </c>
      <c r="I86" s="292">
        <f>I76/$K$83</f>
        <v/>
      </c>
    </row>
    <row r="87">
      <c r="B87" s="82" t="inlineStr">
        <is>
          <t xml:space="preserve">APPRENTICE #3                              </t>
        </is>
      </c>
      <c r="C87" s="292">
        <f>C77/$K$83</f>
        <v/>
      </c>
      <c r="D87" s="288">
        <f>D77/$K$83</f>
        <v/>
      </c>
      <c r="E87" s="257" t="n"/>
      <c r="F87" s="292">
        <f>F77/$K$83</f>
        <v/>
      </c>
      <c r="G87" s="292">
        <f>G77/$K$83</f>
        <v/>
      </c>
      <c r="H87" s="292">
        <f>H77/$K$83</f>
        <v/>
      </c>
      <c r="I87" s="292">
        <f>I77/$K$83</f>
        <v/>
      </c>
    </row>
    <row r="88">
      <c r="B88" s="82" t="inlineStr">
        <is>
          <t xml:space="preserve">APPRENTICE #2                                 </t>
        </is>
      </c>
      <c r="C88" s="292">
        <f>C78/$K$83</f>
        <v/>
      </c>
      <c r="D88" s="288">
        <f>D78/$K$83</f>
        <v/>
      </c>
      <c r="E88" s="257" t="n"/>
      <c r="F88" s="292">
        <f>F78/$K$83</f>
        <v/>
      </c>
      <c r="G88" s="292">
        <f>G78/$K$83</f>
        <v/>
      </c>
      <c r="H88" s="292">
        <f>H78/$K$83</f>
        <v/>
      </c>
      <c r="I88" s="292">
        <f>I78/$K$83</f>
        <v/>
      </c>
    </row>
    <row r="89">
      <c r="B89" s="82" t="inlineStr">
        <is>
          <t xml:space="preserve">APPRENTICE #1                                 </t>
        </is>
      </c>
      <c r="C89" s="292">
        <f>C79/$K$83</f>
        <v/>
      </c>
      <c r="D89" s="283">
        <f>D79/$K$83</f>
        <v/>
      </c>
      <c r="E89" s="276" t="n"/>
      <c r="F89" s="292">
        <f>F79/$K$83</f>
        <v/>
      </c>
      <c r="G89" s="292">
        <f>G79/$K$83</f>
        <v/>
      </c>
      <c r="H89" s="292">
        <f>H79/$K$83</f>
        <v/>
      </c>
      <c r="I89" s="292">
        <f>I79/$K$83</f>
        <v/>
      </c>
    </row>
    <row r="90">
      <c r="B90" s="12" t="inlineStr">
        <is>
          <t>pre apprentice</t>
        </is>
      </c>
      <c r="C90" s="292">
        <f>C80/$K$83</f>
        <v/>
      </c>
      <c r="D90" s="283">
        <f>D80/$K$83</f>
        <v/>
      </c>
      <c r="E90" s="276" t="n"/>
      <c r="F90" s="292">
        <f>F80/$K$83</f>
        <v/>
      </c>
      <c r="G90" s="292">
        <f>G80/$K$83</f>
        <v/>
      </c>
      <c r="H90" s="292">
        <f>H80/$K$83</f>
        <v/>
      </c>
      <c r="I90" s="292">
        <f>I80/$K$83</f>
        <v/>
      </c>
    </row>
    <row r="91">
      <c r="D91" s="294" t="n"/>
    </row>
    <row r="92">
      <c r="B92" s="12" t="inlineStr">
        <is>
          <t>Bonding</t>
        </is>
      </c>
      <c r="C92" s="12" t="inlineStr">
        <is>
          <t>rate/Moths</t>
        </is>
      </c>
    </row>
    <row r="93">
      <c r="B93" s="12" t="inlineStr">
        <is>
          <t>First $2.5M</t>
        </is>
      </c>
      <c r="C93" s="12" t="n">
        <v>8.699999999999999</v>
      </c>
      <c r="G93" s="294" t="n">
        <v>2500000</v>
      </c>
      <c r="I93" s="261">
        <f>G93/1000*C93</f>
        <v/>
      </c>
    </row>
    <row r="94">
      <c r="B94" s="12" t="inlineStr">
        <is>
          <t>Second $2.5M</t>
        </is>
      </c>
      <c r="C94" s="12" t="n">
        <v>7.9</v>
      </c>
      <c r="G94" s="294" t="n">
        <v>2500000</v>
      </c>
      <c r="I94" s="261">
        <f>G94/1000*C94</f>
        <v/>
      </c>
    </row>
    <row r="95">
      <c r="B95" s="12" t="inlineStr">
        <is>
          <t>Third $2.5M</t>
        </is>
      </c>
      <c r="C95" s="12" t="n">
        <v>6.95</v>
      </c>
      <c r="G95" s="294" t="n">
        <v>2500000</v>
      </c>
      <c r="I95" s="261">
        <f>G95/1000*C95</f>
        <v/>
      </c>
    </row>
    <row r="96">
      <c r="B96" s="12" t="inlineStr">
        <is>
          <t>Subtotal</t>
        </is>
      </c>
      <c r="I96" s="261">
        <f>I93+I94+I95</f>
        <v/>
      </c>
    </row>
    <row r="97">
      <c r="B97" s="12" t="inlineStr">
        <is>
          <t>after 24 months</t>
        </is>
      </c>
      <c r="C97" s="12" t="n">
        <v>12</v>
      </c>
      <c r="I97" s="261">
        <f>I96*C97*0.01</f>
        <v/>
      </c>
    </row>
    <row r="98">
      <c r="B98" s="12" t="inlineStr">
        <is>
          <t>Grand Total for Bond</t>
        </is>
      </c>
      <c r="I98" s="261">
        <f>I96+I97</f>
        <v/>
      </c>
    </row>
    <row r="99">
      <c r="B99" s="12" t="inlineStr">
        <is>
          <t>Sell Price</t>
        </is>
      </c>
      <c r="I99" s="261">
        <f>I98/0.9</f>
        <v/>
      </c>
    </row>
  </sheetData>
  <mergeCells count="181">
    <mergeCell ref="K49:L49"/>
    <mergeCell ref="M43:N43"/>
    <mergeCell ref="A17:P17"/>
    <mergeCell ref="A37:L37"/>
    <mergeCell ref="K33:L33"/>
    <mergeCell ref="D84:E84"/>
    <mergeCell ref="K35:L35"/>
    <mergeCell ref="A28:P28"/>
    <mergeCell ref="D77:E77"/>
    <mergeCell ref="M35:N35"/>
    <mergeCell ref="D86:E86"/>
    <mergeCell ref="C41:D41"/>
    <mergeCell ref="K50:L50"/>
    <mergeCell ref="C50:D50"/>
    <mergeCell ref="I4:N4"/>
    <mergeCell ref="A59:P59"/>
    <mergeCell ref="E34:F34"/>
    <mergeCell ref="C43:D43"/>
    <mergeCell ref="G34:H34"/>
    <mergeCell ref="A26:E26"/>
    <mergeCell ref="D72:E72"/>
    <mergeCell ref="I26:K27"/>
    <mergeCell ref="D78:E78"/>
    <mergeCell ref="I42:J42"/>
    <mergeCell ref="E49:F49"/>
    <mergeCell ref="A61:P61"/>
    <mergeCell ref="K42:L42"/>
    <mergeCell ref="M36:N36"/>
    <mergeCell ref="C36:D36"/>
    <mergeCell ref="M33:N33"/>
    <mergeCell ref="M45:N45"/>
    <mergeCell ref="E36:F36"/>
    <mergeCell ref="A58:O58"/>
    <mergeCell ref="I44:J44"/>
    <mergeCell ref="M47:N47"/>
    <mergeCell ref="A60:O60"/>
    <mergeCell ref="G94:H94"/>
    <mergeCell ref="D73:E73"/>
    <mergeCell ref="M50:N50"/>
    <mergeCell ref="G44:H44"/>
    <mergeCell ref="D88:E88"/>
    <mergeCell ref="I30:J30"/>
    <mergeCell ref="K30:L30"/>
    <mergeCell ref="C30:D30"/>
    <mergeCell ref="I46:J46"/>
    <mergeCell ref="D90:E90"/>
    <mergeCell ref="M44:N44"/>
    <mergeCell ref="O4:O5"/>
    <mergeCell ref="C45:D45"/>
    <mergeCell ref="E48:F48"/>
    <mergeCell ref="G48:H48"/>
    <mergeCell ref="C47:D47"/>
    <mergeCell ref="M51:N51"/>
    <mergeCell ref="I32:J32"/>
    <mergeCell ref="D76:E76"/>
    <mergeCell ref="K32:L32"/>
    <mergeCell ref="I41:J41"/>
    <mergeCell ref="K41:L41"/>
    <mergeCell ref="C40:D40"/>
    <mergeCell ref="E40:F40"/>
    <mergeCell ref="A62:O62"/>
    <mergeCell ref="D75:E75"/>
    <mergeCell ref="G49:H49"/>
    <mergeCell ref="I43:J43"/>
    <mergeCell ref="K43:L43"/>
    <mergeCell ref="G33:H33"/>
    <mergeCell ref="I33:J33"/>
    <mergeCell ref="M41:N41"/>
    <mergeCell ref="G26:G27"/>
    <mergeCell ref="G35:H35"/>
    <mergeCell ref="I35:J35"/>
    <mergeCell ref="A64:O64"/>
    <mergeCell ref="D89:E89"/>
    <mergeCell ref="A55:P55"/>
    <mergeCell ref="C4:H4"/>
    <mergeCell ref="D79:E79"/>
    <mergeCell ref="A57:P57"/>
    <mergeCell ref="E50:F50"/>
    <mergeCell ref="C34:D34"/>
    <mergeCell ref="C70:I70"/>
    <mergeCell ref="M34:N34"/>
    <mergeCell ref="A54:O54"/>
    <mergeCell ref="A1:P2"/>
    <mergeCell ref="G42:H42"/>
    <mergeCell ref="D81:E81"/>
    <mergeCell ref="I45:J45"/>
    <mergeCell ref="M49:N49"/>
    <mergeCell ref="K45:L45"/>
    <mergeCell ref="A38:P38"/>
    <mergeCell ref="M39:N39"/>
    <mergeCell ref="A56:O56"/>
    <mergeCell ref="E39:F39"/>
    <mergeCell ref="M48:N48"/>
    <mergeCell ref="G39:H39"/>
    <mergeCell ref="E44:F44"/>
    <mergeCell ref="K29:L29"/>
    <mergeCell ref="C29:D29"/>
    <mergeCell ref="I47:J47"/>
    <mergeCell ref="E29:F29"/>
    <mergeCell ref="K47:L47"/>
    <mergeCell ref="K44:L44"/>
    <mergeCell ref="C44:D44"/>
    <mergeCell ref="K31:L31"/>
    <mergeCell ref="K46:L46"/>
    <mergeCell ref="M31:N31"/>
    <mergeCell ref="K40:L40"/>
    <mergeCell ref="C31:D31"/>
    <mergeCell ref="E31:F31"/>
    <mergeCell ref="M40:N40"/>
    <mergeCell ref="D91:E91"/>
    <mergeCell ref="C46:D46"/>
    <mergeCell ref="A63:O63"/>
    <mergeCell ref="E46:F46"/>
    <mergeCell ref="A4:A5"/>
    <mergeCell ref="M37:N37"/>
    <mergeCell ref="A6:P6"/>
    <mergeCell ref="G95:H95"/>
    <mergeCell ref="A16:P16"/>
    <mergeCell ref="C48:D48"/>
    <mergeCell ref="I15:K15"/>
    <mergeCell ref="M26:M27"/>
    <mergeCell ref="D83:E83"/>
    <mergeCell ref="C32:D32"/>
    <mergeCell ref="B4:B5"/>
    <mergeCell ref="M29:N29"/>
    <mergeCell ref="E32:F32"/>
    <mergeCell ref="A51:L51"/>
    <mergeCell ref="G32:H32"/>
    <mergeCell ref="E41:F41"/>
    <mergeCell ref="G41:H41"/>
    <mergeCell ref="P4:P5"/>
    <mergeCell ref="G50:H50"/>
    <mergeCell ref="D85:E85"/>
    <mergeCell ref="A3:P3"/>
    <mergeCell ref="I50:J50"/>
    <mergeCell ref="C49:D49"/>
    <mergeCell ref="E43:F43"/>
    <mergeCell ref="I34:J34"/>
    <mergeCell ref="G43:H43"/>
    <mergeCell ref="K34:L34"/>
    <mergeCell ref="C33:D33"/>
    <mergeCell ref="A15:E15"/>
    <mergeCell ref="E33:F33"/>
    <mergeCell ref="C42:D42"/>
    <mergeCell ref="I49:J49"/>
    <mergeCell ref="E42:F42"/>
    <mergeCell ref="G36:H36"/>
    <mergeCell ref="I36:J36"/>
    <mergeCell ref="D80:E80"/>
    <mergeCell ref="K36:L36"/>
    <mergeCell ref="C35:D35"/>
    <mergeCell ref="E35:F35"/>
    <mergeCell ref="O26:O27"/>
    <mergeCell ref="G93:H93"/>
    <mergeCell ref="A27:E27"/>
    <mergeCell ref="M30:N30"/>
    <mergeCell ref="D87:E87"/>
    <mergeCell ref="E30:F30"/>
    <mergeCell ref="G30:H30"/>
    <mergeCell ref="M46:N46"/>
    <mergeCell ref="M42:N42"/>
    <mergeCell ref="E45:F45"/>
    <mergeCell ref="G45:H45"/>
    <mergeCell ref="I39:J39"/>
    <mergeCell ref="K39:L39"/>
    <mergeCell ref="I48:J48"/>
    <mergeCell ref="C39:D39"/>
    <mergeCell ref="K48:L48"/>
    <mergeCell ref="G29:H29"/>
    <mergeCell ref="I29:J29"/>
    <mergeCell ref="D74:E74"/>
    <mergeCell ref="G47:H47"/>
    <mergeCell ref="D82:E82"/>
    <mergeCell ref="M32:N32"/>
    <mergeCell ref="G31:H31"/>
    <mergeCell ref="G46:H46"/>
    <mergeCell ref="A52:P53"/>
    <mergeCell ref="I31:J31"/>
    <mergeCell ref="G40:H40"/>
    <mergeCell ref="I40:J40"/>
    <mergeCell ref="E47:F47"/>
  </mergeCells>
  <dataValidations disablePrompts="1" count="1">
    <dataValidation sqref="K83 O7:O14 O18:O25 O30:O36 O40:O50" showDropDown="0" showInputMessage="1" showErrorMessage="1" allowBlank="1" type="list">
      <formula1>"1,.95,.94,.93,.92,.91,.9,.89,.88,.87,.86,.85,.84,.83,.82,.81,.8,.79,.78,.77,.76,.75,.74,.73,.72,.71,.7,.66"</formula1>
    </dataValidation>
  </dataValidations>
  <printOptions horizontalCentered="1" verticalCentered="1"/>
  <pageMargins left="0.45" right="0.45" top="0.75" bottom="0.75" header="0.3" footer="0.3"/>
  <pageSetup orientation="portrait" paperSize="17" scale="72" fitToHeight="0" horizontalDpi="300" verticalDpi="300"/>
  <colBreaks count="1" manualBreakCount="1">
    <brk id="16" min="0" max="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4"/>
  <sheetViews>
    <sheetView zoomScale="80" zoomScaleNormal="80" workbookViewId="0">
      <selection activeCell="A1" sqref="A1:T2"/>
    </sheetView>
  </sheetViews>
  <sheetFormatPr baseColWidth="8" defaultColWidth="9.140625" defaultRowHeight="15.75"/>
  <cols>
    <col width="9.140625" customWidth="1" style="12" min="1" max="1"/>
    <col width="44.85546875" customWidth="1" style="12" min="2" max="2"/>
    <col width="14.140625" customWidth="1" style="12" min="3" max="3"/>
    <col width="7.28515625" customWidth="1" style="12" min="4" max="4"/>
    <col width="9.42578125" customWidth="1" style="12" min="5" max="5"/>
    <col width="15.7109375" customWidth="1" style="12" min="6" max="6"/>
    <col width="19.140625" customWidth="1" style="12" min="7" max="7"/>
    <col width="15.28515625" customWidth="1" style="12" min="8" max="14"/>
    <col width="14.85546875" customWidth="1" style="12" min="15" max="15"/>
    <col width="22" customWidth="1" style="12" min="16" max="16"/>
    <col width="16" customWidth="1" style="12" min="17" max="20"/>
    <col width="12.85546875" customWidth="1" style="12" min="21" max="21"/>
    <col width="13.85546875" customWidth="1" style="12" min="22" max="22"/>
    <col width="11.85546875" customWidth="1" style="12" min="23" max="23"/>
    <col width="9.140625" customWidth="1" style="12" min="24" max="16384"/>
  </cols>
  <sheetData>
    <row r="1" ht="23.25" customHeight="1">
      <c r="A1" s="235" t="inlineStr">
        <is>
          <t xml:space="preserve">Customer and Project Scope -  </t>
        </is>
      </c>
    </row>
    <row r="2" ht="19.5" customHeight="1">
      <c r="A2" s="295" t="n"/>
    </row>
    <row r="3" ht="18.95" customHeight="1" thickBot="1">
      <c r="A3" s="231" t="inlineStr">
        <is>
          <t>AINSWORTH LABOUR</t>
        </is>
      </c>
    </row>
    <row r="4" ht="18.95" customHeight="1" thickBot="1">
      <c r="A4" s="83" t="inlineStr">
        <is>
          <t>Item</t>
        </is>
      </c>
      <c r="B4" s="83" t="inlineStr">
        <is>
          <t>Task</t>
        </is>
      </c>
      <c r="C4" s="83" t="inlineStr">
        <is>
          <t>Regular Labour Rates</t>
        </is>
      </c>
      <c r="D4" s="253" t="n"/>
      <c r="E4" s="253" t="n"/>
      <c r="F4" s="253" t="n"/>
      <c r="G4" s="253" t="n"/>
      <c r="H4" s="254" t="n"/>
      <c r="I4" s="49" t="inlineStr">
        <is>
          <t>Premium Labour Rates</t>
        </is>
      </c>
      <c r="J4" s="253" t="n"/>
      <c r="K4" s="253" t="n"/>
      <c r="L4" s="253" t="n"/>
      <c r="M4" s="253" t="n"/>
      <c r="N4" s="254" t="n"/>
      <c r="O4" s="83" t="inlineStr">
        <is>
          <t>Margin</t>
        </is>
      </c>
      <c r="P4" s="52" t="inlineStr">
        <is>
          <t>Year 1</t>
        </is>
      </c>
      <c r="Q4" s="174" t="inlineStr">
        <is>
          <t>Year 2</t>
        </is>
      </c>
      <c r="R4" s="174" t="inlineStr">
        <is>
          <t>Year 3</t>
        </is>
      </c>
      <c r="S4" s="174" t="inlineStr">
        <is>
          <t>Year 4</t>
        </is>
      </c>
      <c r="T4" s="174" t="inlineStr">
        <is>
          <t>Year 5</t>
        </is>
      </c>
    </row>
    <row r="5" ht="16.35" customHeight="1" thickBot="1">
      <c r="A5" s="296" t="n"/>
      <c r="B5" s="296" t="n"/>
      <c r="C5" s="83" t="inlineStr">
        <is>
          <t># of techs</t>
        </is>
      </c>
      <c r="D5" s="83" t="inlineStr">
        <is>
          <t>Days/Units</t>
        </is>
      </c>
      <c r="E5" s="83" t="inlineStr">
        <is>
          <t>Regular Hours</t>
        </is>
      </c>
      <c r="F5" s="83" t="inlineStr">
        <is>
          <t>Total Regular Hours</t>
        </is>
      </c>
      <c r="G5" s="84" t="inlineStr">
        <is>
          <t>Regular Labour Rate</t>
        </is>
      </c>
      <c r="H5" s="84" t="inlineStr">
        <is>
          <t>Subtotal 1</t>
        </is>
      </c>
      <c r="I5" s="49" t="inlineStr">
        <is>
          <t># of techs</t>
        </is>
      </c>
      <c r="J5" s="49" t="inlineStr">
        <is>
          <t>Days/Units</t>
        </is>
      </c>
      <c r="K5" s="49" t="inlineStr">
        <is>
          <t>O/T Hours</t>
        </is>
      </c>
      <c r="L5" s="49" t="inlineStr">
        <is>
          <t>Total O/T Hours</t>
        </is>
      </c>
      <c r="M5" s="50" t="inlineStr">
        <is>
          <t>O/T Labour Rate</t>
        </is>
      </c>
      <c r="N5" s="49" t="inlineStr">
        <is>
          <t>Subtotal 2</t>
        </is>
      </c>
      <c r="O5" s="296" t="n"/>
      <c r="P5" s="296" t="n"/>
      <c r="Q5" s="296" t="n"/>
      <c r="R5" s="296" t="n"/>
      <c r="S5" s="296" t="n"/>
      <c r="T5" s="296" t="n"/>
    </row>
    <row r="6" ht="15.95" customHeight="1" thickBot="1">
      <c r="A6" s="255" t="n"/>
      <c r="B6" s="255" t="n"/>
      <c r="C6" s="255" t="n"/>
      <c r="D6" s="255" t="n"/>
      <c r="E6" s="255" t="n"/>
      <c r="F6" s="255" t="n"/>
      <c r="G6" s="255" t="n"/>
      <c r="H6" s="255" t="n"/>
      <c r="I6" s="255" t="n"/>
      <c r="J6" s="255" t="n"/>
      <c r="K6" s="255" t="n"/>
      <c r="L6" s="255" t="n"/>
      <c r="M6" s="255" t="n"/>
      <c r="N6" s="255" t="n"/>
      <c r="O6" s="255" t="n"/>
      <c r="P6" s="255" t="n"/>
      <c r="Q6" s="52" t="n">
        <v>1</v>
      </c>
      <c r="R6" s="52" t="n">
        <v>1</v>
      </c>
      <c r="S6" s="52" t="n">
        <v>1</v>
      </c>
      <c r="T6" s="52" t="n">
        <v>1</v>
      </c>
    </row>
    <row r="7" ht="34.5" customHeight="1" thickBot="1">
      <c r="A7" s="237" t="inlineStr">
        <is>
          <t>Project Management</t>
        </is>
      </c>
      <c r="B7" s="248" t="n"/>
      <c r="C7" s="248" t="n"/>
      <c r="D7" s="248" t="n"/>
      <c r="E7" s="248" t="n"/>
      <c r="F7" s="248" t="n"/>
      <c r="G7" s="248" t="n"/>
      <c r="H7" s="248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</row>
    <row r="8" ht="16.5" customHeight="1" thickTop="1">
      <c r="A8" s="191" t="n">
        <v>1</v>
      </c>
      <c r="B8" s="1" t="inlineStr">
        <is>
          <t>Engineering/Meetings</t>
        </is>
      </c>
      <c r="C8" s="2" t="n"/>
      <c r="D8" s="2" t="n"/>
      <c r="E8" s="2" t="n"/>
      <c r="F8" s="2">
        <f>C8*D8*E8</f>
        <v/>
      </c>
      <c r="G8" s="20" t="n">
        <v>90</v>
      </c>
      <c r="H8" s="25">
        <f>F8*G8</f>
        <v/>
      </c>
      <c r="I8" s="38" t="n"/>
      <c r="J8" s="39" t="n"/>
      <c r="K8" s="39" t="n"/>
      <c r="L8" s="39">
        <f>I8*J8*K8</f>
        <v/>
      </c>
      <c r="M8" s="40" t="n">
        <v>150</v>
      </c>
      <c r="N8" s="41">
        <f>L8*M8</f>
        <v/>
      </c>
      <c r="O8" s="2" t="n">
        <v>0.85</v>
      </c>
      <c r="P8" s="53">
        <f>H8/O8+N8/O8</f>
        <v/>
      </c>
      <c r="Q8" s="54">
        <f>P8*$Q$6</f>
        <v/>
      </c>
      <c r="R8" s="54">
        <f>Q8*$R$6</f>
        <v/>
      </c>
      <c r="S8" s="54">
        <f>R8*$S$6</f>
        <v/>
      </c>
      <c r="T8" s="55">
        <f>S8*$T$6</f>
        <v/>
      </c>
    </row>
    <row r="9">
      <c r="A9" s="191" t="n">
        <v>2</v>
      </c>
      <c r="B9" s="1" t="inlineStr">
        <is>
          <t>Project Management</t>
        </is>
      </c>
      <c r="C9" s="2" t="n">
        <v>1</v>
      </c>
      <c r="D9" s="2" t="n">
        <v>1</v>
      </c>
      <c r="E9" s="2" t="n"/>
      <c r="F9" s="2">
        <f>C9*D9*E9</f>
        <v/>
      </c>
      <c r="G9" s="20" t="n">
        <v>90</v>
      </c>
      <c r="H9" s="26">
        <f>F9*G9</f>
        <v/>
      </c>
      <c r="I9" s="42" t="n"/>
      <c r="J9" s="23" t="n"/>
      <c r="K9" s="23" t="n"/>
      <c r="L9" s="23">
        <f>I9*J9*K9</f>
        <v/>
      </c>
      <c r="M9" s="19" t="n">
        <v>150</v>
      </c>
      <c r="N9" s="26">
        <f>L9*M9</f>
        <v/>
      </c>
      <c r="O9" s="2" t="n">
        <v>0.85</v>
      </c>
      <c r="P9" s="56">
        <f>H9/O9+N9/O9</f>
        <v/>
      </c>
      <c r="Q9" s="57">
        <f>P9*$Q$6</f>
        <v/>
      </c>
      <c r="R9" s="57">
        <f>Q9*$R$6</f>
        <v/>
      </c>
      <c r="S9" s="57">
        <f>R9*$S$6</f>
        <v/>
      </c>
      <c r="T9" s="58">
        <f>S9*$T$6</f>
        <v/>
      </c>
    </row>
    <row r="10">
      <c r="A10" s="191" t="n">
        <v>3</v>
      </c>
      <c r="B10" s="1" t="inlineStr">
        <is>
          <t>ESA Submissions</t>
        </is>
      </c>
      <c r="C10" s="2" t="n"/>
      <c r="D10" s="2" t="n"/>
      <c r="E10" s="2" t="n"/>
      <c r="F10" s="2">
        <f>C10*D10*E10</f>
        <v/>
      </c>
      <c r="G10" s="20" t="n">
        <v>2000</v>
      </c>
      <c r="H10" s="26">
        <f>F10*G10</f>
        <v/>
      </c>
      <c r="I10" s="42" t="n"/>
      <c r="J10" s="23" t="n"/>
      <c r="K10" s="23" t="n"/>
      <c r="L10" s="23">
        <f>I10*J10*K10</f>
        <v/>
      </c>
      <c r="M10" s="19" t="n">
        <v>0</v>
      </c>
      <c r="N10" s="26">
        <f>L10*M10</f>
        <v/>
      </c>
      <c r="O10" s="2" t="n">
        <v>0.85</v>
      </c>
      <c r="P10" s="56">
        <f>H10/O10+N10/O10</f>
        <v/>
      </c>
      <c r="Q10" s="57">
        <f>P10*$Q$6</f>
        <v/>
      </c>
      <c r="R10" s="57">
        <f>Q10*$R$6</f>
        <v/>
      </c>
      <c r="S10" s="57">
        <f>R10*$S$6</f>
        <v/>
      </c>
      <c r="T10" s="58">
        <f>S10*$T$6</f>
        <v/>
      </c>
    </row>
    <row r="11">
      <c r="A11" s="191" t="n">
        <v>4</v>
      </c>
      <c r="B11" s="1" t="inlineStr">
        <is>
          <t>Misc. Subcontractors</t>
        </is>
      </c>
      <c r="C11" s="2" t="n">
        <v>0.02</v>
      </c>
      <c r="D11" s="2" t="n">
        <v>1</v>
      </c>
      <c r="E11" s="2" t="n">
        <v>1</v>
      </c>
      <c r="F11" s="2">
        <f>C11*D11*E11</f>
        <v/>
      </c>
      <c r="G11" s="20">
        <f>P39</f>
        <v/>
      </c>
      <c r="H11" s="26">
        <f>F11*G11</f>
        <v/>
      </c>
      <c r="I11" s="42" t="n"/>
      <c r="J11" s="23" t="n"/>
      <c r="K11" s="23" t="n"/>
      <c r="L11" s="23">
        <f>I11*J11*K11</f>
        <v/>
      </c>
      <c r="M11" s="19" t="n">
        <v>150</v>
      </c>
      <c r="N11" s="26">
        <f>L11*M11</f>
        <v/>
      </c>
      <c r="O11" s="2" t="n">
        <v>0.85</v>
      </c>
      <c r="P11" s="56">
        <f>H11/O11+N11/O11</f>
        <v/>
      </c>
      <c r="Q11" s="57">
        <f>P11*$Q$6</f>
        <v/>
      </c>
      <c r="R11" s="57">
        <f>Q11*$R$6</f>
        <v/>
      </c>
      <c r="S11" s="57">
        <f>R11*$S$6</f>
        <v/>
      </c>
      <c r="T11" s="58">
        <f>S11*$T$6</f>
        <v/>
      </c>
    </row>
    <row r="12">
      <c r="A12" s="191" t="n">
        <v>5</v>
      </c>
      <c r="B12" s="1" t="inlineStr">
        <is>
          <t>Misc. Materials</t>
        </is>
      </c>
      <c r="C12" s="2" t="n">
        <v>0.02</v>
      </c>
      <c r="D12" s="2" t="n">
        <v>1</v>
      </c>
      <c r="E12" s="2" t="n">
        <v>1</v>
      </c>
      <c r="F12" s="2">
        <f>C12*D12*E12</f>
        <v/>
      </c>
      <c r="G12" s="20">
        <f>P66</f>
        <v/>
      </c>
      <c r="H12" s="26">
        <f>F12*G12</f>
        <v/>
      </c>
      <c r="I12" s="42" t="n"/>
      <c r="J12" s="23" t="n"/>
      <c r="K12" s="23" t="n"/>
      <c r="L12" s="23">
        <f>I12*J12*K12</f>
        <v/>
      </c>
      <c r="M12" s="19" t="n">
        <v>150</v>
      </c>
      <c r="N12" s="26">
        <f>L12*M12</f>
        <v/>
      </c>
      <c r="O12" s="2" t="n">
        <v>0.85</v>
      </c>
      <c r="P12" s="56">
        <f>H12/O12+N12/O12</f>
        <v/>
      </c>
      <c r="Q12" s="57">
        <f>P12*$Q$6</f>
        <v/>
      </c>
      <c r="R12" s="57">
        <f>Q12*$R$6</f>
        <v/>
      </c>
      <c r="S12" s="57">
        <f>R12*$S$6</f>
        <v/>
      </c>
      <c r="T12" s="58">
        <f>S12*$T$6</f>
        <v/>
      </c>
    </row>
    <row r="13">
      <c r="A13" s="191" t="n">
        <v>6</v>
      </c>
      <c r="B13" s="1" t="inlineStr">
        <is>
          <t>Health and Safety</t>
        </is>
      </c>
      <c r="C13" s="2" t="n"/>
      <c r="D13" s="2" t="n"/>
      <c r="E13" s="2" t="n"/>
      <c r="F13" s="2">
        <f>C13*D13*E13</f>
        <v/>
      </c>
      <c r="G13" s="20" t="n">
        <v>80</v>
      </c>
      <c r="H13" s="26">
        <f>F13*G13</f>
        <v/>
      </c>
      <c r="I13" s="42" t="n"/>
      <c r="J13" s="23" t="n"/>
      <c r="K13" s="23" t="n"/>
      <c r="L13" s="23">
        <f>I13*J13*K13</f>
        <v/>
      </c>
      <c r="M13" s="19" t="n">
        <v>150</v>
      </c>
      <c r="N13" s="26">
        <f>L13*M13</f>
        <v/>
      </c>
      <c r="O13" s="2" t="n">
        <v>0.85</v>
      </c>
      <c r="P13" s="56">
        <f>H13/O13+N13/O13</f>
        <v/>
      </c>
      <c r="Q13" s="57">
        <f>P13*$Q$6</f>
        <v/>
      </c>
      <c r="R13" s="57">
        <f>Q13*$R$6</f>
        <v/>
      </c>
      <c r="S13" s="57">
        <f>R13*$S$6</f>
        <v/>
      </c>
      <c r="T13" s="58">
        <f>S13*$T$6</f>
        <v/>
      </c>
    </row>
    <row r="14">
      <c r="A14" s="191" t="n">
        <v>7</v>
      </c>
      <c r="B14" s="1" t="inlineStr">
        <is>
          <t>Forman - site supervision and civil</t>
        </is>
      </c>
      <c r="C14" s="2" t="n"/>
      <c r="D14" s="2" t="n"/>
      <c r="E14" s="2" t="n"/>
      <c r="F14" s="2">
        <f>C14*D14*E14</f>
        <v/>
      </c>
      <c r="G14" s="20" t="n">
        <v>92</v>
      </c>
      <c r="H14" s="26">
        <f>F14*G14</f>
        <v/>
      </c>
      <c r="I14" s="42" t="n"/>
      <c r="J14" s="23" t="n"/>
      <c r="K14" s="23" t="n"/>
      <c r="L14" s="23">
        <f>I14*J14*K14</f>
        <v/>
      </c>
      <c r="M14" s="19" t="n">
        <v>185</v>
      </c>
      <c r="N14" s="26">
        <f>L14*M14</f>
        <v/>
      </c>
      <c r="O14" s="2" t="n">
        <v>0.85</v>
      </c>
      <c r="P14" s="56">
        <f>H14/O14+N14/O14</f>
        <v/>
      </c>
      <c r="Q14" s="57">
        <f>P14*$Q$6</f>
        <v/>
      </c>
      <c r="R14" s="57">
        <f>Q14*$R$6</f>
        <v/>
      </c>
      <c r="S14" s="57">
        <f>R14*$S$6</f>
        <v/>
      </c>
      <c r="T14" s="58">
        <f>S14*$T$6</f>
        <v/>
      </c>
    </row>
    <row r="15">
      <c r="A15" s="191" t="n">
        <v>8</v>
      </c>
      <c r="B15" s="1" t="inlineStr">
        <is>
          <t>Lodging</t>
        </is>
      </c>
      <c r="C15" s="2" t="n">
        <v>1</v>
      </c>
      <c r="D15" s="2" t="n">
        <v>1</v>
      </c>
      <c r="E15" s="2" t="n">
        <v>1</v>
      </c>
      <c r="F15" s="2">
        <f>C15*D15*E15</f>
        <v/>
      </c>
      <c r="G15" s="20" t="n">
        <v>0</v>
      </c>
      <c r="H15" s="26">
        <f>F15*G15</f>
        <v/>
      </c>
      <c r="I15" s="42" t="n"/>
      <c r="J15" s="23" t="n"/>
      <c r="K15" s="23" t="n"/>
      <c r="L15" s="23">
        <f>I15*J15*K15</f>
        <v/>
      </c>
      <c r="M15" s="19" t="n">
        <v>150</v>
      </c>
      <c r="N15" s="26">
        <f>L15*M15</f>
        <v/>
      </c>
      <c r="O15" s="2" t="n">
        <v>0.85</v>
      </c>
      <c r="P15" s="56">
        <f>H15/O15+N15/O15</f>
        <v/>
      </c>
      <c r="Q15" s="57">
        <f>P15*$Q$6</f>
        <v/>
      </c>
      <c r="R15" s="57">
        <f>Q15*$R$6</f>
        <v/>
      </c>
      <c r="S15" s="57">
        <f>R15*$S$6</f>
        <v/>
      </c>
      <c r="T15" s="58">
        <f>S15*$T$6</f>
        <v/>
      </c>
    </row>
    <row r="16" ht="15.75" customFormat="1" customHeight="1" s="7" thickBot="1">
      <c r="A16" s="223" t="inlineStr">
        <is>
          <t>Total Management</t>
        </is>
      </c>
      <c r="B16" s="256" t="n"/>
      <c r="C16" s="256" t="n"/>
      <c r="D16" s="256" t="n"/>
      <c r="E16" s="257" t="n"/>
      <c r="F16" s="3">
        <f>SUM(F8:F15)</f>
        <v/>
      </c>
      <c r="G16" s="3" t="n"/>
      <c r="H16" s="27">
        <f>SUM(H8:H15)</f>
        <v/>
      </c>
      <c r="I16" s="258" t="n"/>
      <c r="J16" s="259" t="n"/>
      <c r="K16" s="260" t="n"/>
      <c r="L16" s="43">
        <f>SUM(L8:L15)</f>
        <v/>
      </c>
      <c r="M16" s="44" t="n"/>
      <c r="N16" s="45">
        <f>SUM(N8:N15)</f>
        <v/>
      </c>
      <c r="O16" s="29" t="n"/>
      <c r="P16" s="59">
        <f>SUM(P8:P15)</f>
        <v/>
      </c>
      <c r="Q16" s="60">
        <f>SUM(Q8:Q15)</f>
        <v/>
      </c>
      <c r="R16" s="60">
        <f>SUM(R8:R15)</f>
        <v/>
      </c>
      <c r="S16" s="60">
        <f>SUM(S8:S15)</f>
        <v/>
      </c>
      <c r="T16" s="61">
        <f>SUM(T8:T15)</f>
        <v/>
      </c>
    </row>
    <row r="17" ht="16.5" customHeight="1" thickTop="1">
      <c r="A17" s="239" t="n"/>
    </row>
    <row r="18" ht="16.5" customHeight="1" thickBot="1">
      <c r="A18" s="241" t="inlineStr">
        <is>
          <t>Labour</t>
        </is>
      </c>
    </row>
    <row r="19" ht="16.5" customHeight="1" thickTop="1">
      <c r="A19" s="191" t="n">
        <v>1</v>
      </c>
      <c r="B19" s="16" t="inlineStr">
        <is>
          <t>Mob/demob</t>
        </is>
      </c>
      <c r="C19" s="2" t="n"/>
      <c r="D19" s="2" t="n"/>
      <c r="E19" s="2" t="n"/>
      <c r="F19" s="2">
        <f>C19*D19*E19</f>
        <v/>
      </c>
      <c r="G19" s="20" t="n">
        <v>105</v>
      </c>
      <c r="H19" s="46">
        <f>F19*G19</f>
        <v/>
      </c>
      <c r="I19" s="38" t="n"/>
      <c r="J19" s="39" t="n"/>
      <c r="K19" s="39" t="n"/>
      <c r="L19" s="39">
        <f>I19*J19*K19</f>
        <v/>
      </c>
      <c r="M19" s="40" t="n">
        <v>195</v>
      </c>
      <c r="N19" s="41">
        <f>L19*M19</f>
        <v/>
      </c>
      <c r="O19" s="2" t="n">
        <v>0.8</v>
      </c>
      <c r="P19" s="53">
        <f>H19/O19+N19/O19</f>
        <v/>
      </c>
      <c r="Q19" s="54">
        <f>P19*$Q$6</f>
        <v/>
      </c>
      <c r="R19" s="54">
        <f>Q19*$R$6</f>
        <v/>
      </c>
      <c r="S19" s="54">
        <f>R19*$S$6</f>
        <v/>
      </c>
      <c r="T19" s="55">
        <f>S19*$T$6</f>
        <v/>
      </c>
    </row>
    <row r="20">
      <c r="A20" s="191" t="n">
        <v>2</v>
      </c>
      <c r="B20" s="16" t="n"/>
      <c r="C20" s="2" t="n"/>
      <c r="D20" s="2" t="n"/>
      <c r="E20" s="2" t="n"/>
      <c r="F20" s="2">
        <f>C20*D20*E20</f>
        <v/>
      </c>
      <c r="G20" s="20" t="n">
        <v>105</v>
      </c>
      <c r="H20" s="46">
        <f>F20*G20</f>
        <v/>
      </c>
      <c r="I20" s="48" t="n"/>
      <c r="J20" s="24" t="n"/>
      <c r="K20" s="24" t="n"/>
      <c r="L20" s="24">
        <f>I20*J20*K20</f>
        <v/>
      </c>
      <c r="M20" s="20" t="n">
        <v>195</v>
      </c>
      <c r="N20" s="28">
        <f>L20*M20</f>
        <v/>
      </c>
      <c r="O20" s="2" t="n">
        <v>0.8</v>
      </c>
      <c r="P20" s="56">
        <f>H20/O20+N20/O20</f>
        <v/>
      </c>
      <c r="Q20" s="57">
        <f>P20*$Q$6</f>
        <v/>
      </c>
      <c r="R20" s="57">
        <f>Q20*$R$6</f>
        <v/>
      </c>
      <c r="S20" s="57">
        <f>R20*$S$6</f>
        <v/>
      </c>
      <c r="T20" s="58">
        <f>S20*$T$6</f>
        <v/>
      </c>
      <c r="U20" s="18" t="n"/>
    </row>
    <row r="21">
      <c r="A21" s="191" t="n">
        <v>3</v>
      </c>
      <c r="B21" s="6" t="n"/>
      <c r="C21" s="2" t="n"/>
      <c r="D21" s="2" t="n"/>
      <c r="E21" s="2" t="n"/>
      <c r="F21" s="2">
        <f>C21*D21*E21</f>
        <v/>
      </c>
      <c r="G21" s="20" t="n">
        <v>105</v>
      </c>
      <c r="H21" s="46">
        <f>F21*G21</f>
        <v/>
      </c>
      <c r="I21" s="48" t="n"/>
      <c r="J21" s="24" t="n"/>
      <c r="K21" s="24" t="n"/>
      <c r="L21" s="24">
        <f>I21*J21*K21</f>
        <v/>
      </c>
      <c r="M21" s="20" t="n">
        <v>195</v>
      </c>
      <c r="N21" s="28">
        <f>L21*M21</f>
        <v/>
      </c>
      <c r="O21" s="2" t="n">
        <v>0.8</v>
      </c>
      <c r="P21" s="56">
        <f>H21/O21+N21/O21</f>
        <v/>
      </c>
      <c r="Q21" s="57">
        <f>P21*$Q$6</f>
        <v/>
      </c>
      <c r="R21" s="57">
        <f>Q21*$R$6</f>
        <v/>
      </c>
      <c r="S21" s="57">
        <f>R21*$S$6</f>
        <v/>
      </c>
      <c r="T21" s="58">
        <f>S21*$T$6</f>
        <v/>
      </c>
      <c r="U21" s="18" t="n"/>
    </row>
    <row r="22">
      <c r="A22" s="191" t="n">
        <v>4</v>
      </c>
      <c r="B22" s="6" t="n"/>
      <c r="C22" s="2" t="n"/>
      <c r="D22" s="2" t="n"/>
      <c r="E22" s="2" t="n"/>
      <c r="F22" s="2">
        <f>C22*D22*E22</f>
        <v/>
      </c>
      <c r="G22" s="20" t="n">
        <v>105</v>
      </c>
      <c r="H22" s="46">
        <f>F22*G22</f>
        <v/>
      </c>
      <c r="I22" s="48" t="n"/>
      <c r="J22" s="24" t="n"/>
      <c r="K22" s="24" t="n"/>
      <c r="L22" s="24">
        <f>I22*J22*K22</f>
        <v/>
      </c>
      <c r="M22" s="20" t="n">
        <v>195</v>
      </c>
      <c r="N22" s="28">
        <f>L22*M22</f>
        <v/>
      </c>
      <c r="O22" s="2" t="n">
        <v>0.8</v>
      </c>
      <c r="P22" s="56">
        <f>H22/O22+N22/O22</f>
        <v/>
      </c>
      <c r="Q22" s="57">
        <f>P22*$Q$6</f>
        <v/>
      </c>
      <c r="R22" s="57">
        <f>Q22*$R$6</f>
        <v/>
      </c>
      <c r="S22" s="57">
        <f>R22*$S$6</f>
        <v/>
      </c>
      <c r="T22" s="58">
        <f>S22*$T$6</f>
        <v/>
      </c>
      <c r="U22" s="18" t="n"/>
    </row>
    <row r="23">
      <c r="A23" s="191" t="n">
        <v>5</v>
      </c>
      <c r="B23" s="6" t="n"/>
      <c r="C23" s="2" t="n"/>
      <c r="D23" s="2" t="n"/>
      <c r="E23" s="2" t="n"/>
      <c r="F23" s="2">
        <f>C23*D23*E23</f>
        <v/>
      </c>
      <c r="G23" s="20" t="n">
        <v>105</v>
      </c>
      <c r="H23" s="46">
        <f>F23*G23</f>
        <v/>
      </c>
      <c r="I23" s="48" t="n"/>
      <c r="J23" s="24" t="n"/>
      <c r="K23" s="24" t="n"/>
      <c r="L23" s="24">
        <f>I23*J23*K23</f>
        <v/>
      </c>
      <c r="M23" s="20" t="n">
        <v>195</v>
      </c>
      <c r="N23" s="28">
        <f>L23*M23</f>
        <v/>
      </c>
      <c r="O23" s="2" t="n">
        <v>0.8</v>
      </c>
      <c r="P23" s="56">
        <f>H23/O23+N23/O23</f>
        <v/>
      </c>
      <c r="Q23" s="57">
        <f>P23*$Q$6</f>
        <v/>
      </c>
      <c r="R23" s="57">
        <f>Q23*$R$6</f>
        <v/>
      </c>
      <c r="S23" s="57">
        <f>R23*$S$6</f>
        <v/>
      </c>
      <c r="T23" s="58">
        <f>S23*$T$6</f>
        <v/>
      </c>
    </row>
    <row r="24">
      <c r="A24" s="191" t="n">
        <v>6</v>
      </c>
      <c r="B24" s="6" t="n"/>
      <c r="C24" s="2" t="n"/>
      <c r="D24" s="2" t="n"/>
      <c r="E24" s="2" t="n"/>
      <c r="F24" s="2">
        <f>C24*D24*E24</f>
        <v/>
      </c>
      <c r="G24" s="20" t="n">
        <v>105</v>
      </c>
      <c r="H24" s="46">
        <f>F24*G24</f>
        <v/>
      </c>
      <c r="I24" s="48" t="n"/>
      <c r="J24" s="24" t="n"/>
      <c r="K24" s="24" t="n"/>
      <c r="L24" s="24">
        <f>I24*J24*K24</f>
        <v/>
      </c>
      <c r="M24" s="20" t="n">
        <v>195</v>
      </c>
      <c r="N24" s="28">
        <f>L24*M24</f>
        <v/>
      </c>
      <c r="O24" s="2" t="n">
        <v>0.8</v>
      </c>
      <c r="P24" s="56">
        <f>H24/O24+N24/O24</f>
        <v/>
      </c>
      <c r="Q24" s="57">
        <f>P24*$Q$6</f>
        <v/>
      </c>
      <c r="R24" s="57">
        <f>Q24*$R$6</f>
        <v/>
      </c>
      <c r="S24" s="57">
        <f>R24*$S$6</f>
        <v/>
      </c>
      <c r="T24" s="58">
        <f>S24*$T$6</f>
        <v/>
      </c>
    </row>
    <row r="25">
      <c r="A25" s="191" t="n">
        <v>7</v>
      </c>
      <c r="B25" s="6" t="n"/>
      <c r="C25" s="2" t="n"/>
      <c r="D25" s="2" t="n"/>
      <c r="E25" s="2" t="n"/>
      <c r="F25" s="2">
        <f>C25*D25*E25</f>
        <v/>
      </c>
      <c r="G25" s="20" t="n">
        <v>105</v>
      </c>
      <c r="H25" s="46">
        <f>F25*G25</f>
        <v/>
      </c>
      <c r="I25" s="48" t="n"/>
      <c r="J25" s="24" t="n"/>
      <c r="K25" s="24" t="n"/>
      <c r="L25" s="24">
        <f>I25*J25*K25</f>
        <v/>
      </c>
      <c r="M25" s="20" t="n">
        <v>195</v>
      </c>
      <c r="N25" s="28">
        <f>L25*M25</f>
        <v/>
      </c>
      <c r="O25" s="2" t="n">
        <v>0.8</v>
      </c>
      <c r="P25" s="56">
        <f>H25/O25+N25/O25</f>
        <v/>
      </c>
      <c r="Q25" s="57">
        <f>P25*$Q$6</f>
        <v/>
      </c>
      <c r="R25" s="57">
        <f>Q25*$R$6</f>
        <v/>
      </c>
      <c r="S25" s="57">
        <f>R25*$S$6</f>
        <v/>
      </c>
      <c r="T25" s="58">
        <f>S25*$T$6</f>
        <v/>
      </c>
    </row>
    <row r="26">
      <c r="A26" s="191" t="n">
        <v>8</v>
      </c>
      <c r="B26" s="6" t="n"/>
      <c r="C26" s="2" t="n"/>
      <c r="D26" s="2" t="n"/>
      <c r="E26" s="2" t="n"/>
      <c r="F26" s="2">
        <f>C26*D26*E26</f>
        <v/>
      </c>
      <c r="G26" s="20" t="n">
        <v>105</v>
      </c>
      <c r="H26" s="46">
        <f>F26*G26</f>
        <v/>
      </c>
      <c r="I26" s="48" t="n"/>
      <c r="J26" s="24" t="n"/>
      <c r="K26" s="24" t="n"/>
      <c r="L26" s="24">
        <f>I26*J26*K26</f>
        <v/>
      </c>
      <c r="M26" s="20" t="n">
        <v>195</v>
      </c>
      <c r="N26" s="28">
        <f>L26*M26</f>
        <v/>
      </c>
      <c r="O26" s="2" t="n">
        <v>0.8</v>
      </c>
      <c r="P26" s="56">
        <f>H26/O26+N26/O26</f>
        <v/>
      </c>
      <c r="Q26" s="57">
        <f>P26*$Q$6</f>
        <v/>
      </c>
      <c r="R26" s="57">
        <f>Q26*$R$6</f>
        <v/>
      </c>
      <c r="S26" s="57">
        <f>R26*$S$6</f>
        <v/>
      </c>
      <c r="T26" s="58">
        <f>S26*$T$6</f>
        <v/>
      </c>
    </row>
    <row r="27" ht="15.75" customHeight="1">
      <c r="A27" s="223" t="inlineStr">
        <is>
          <t>Sub Total Labour</t>
        </is>
      </c>
      <c r="B27" s="256" t="n"/>
      <c r="C27" s="256" t="n"/>
      <c r="D27" s="256" t="n"/>
      <c r="E27" s="257" t="n"/>
      <c r="F27" s="3">
        <f>SUM(F19:F26)</f>
        <v/>
      </c>
      <c r="G27" s="3" t="n"/>
      <c r="H27" s="47">
        <f>SUM(H19:H26)</f>
        <v/>
      </c>
      <c r="I27" s="297" t="n"/>
      <c r="J27" s="263" t="n"/>
      <c r="K27" s="264" t="n"/>
      <c r="L27" s="86">
        <f>SUM(L19:L26)</f>
        <v/>
      </c>
      <c r="M27" s="44" t="n"/>
      <c r="N27" s="87">
        <f>SUM(N19:N26)</f>
        <v/>
      </c>
      <c r="O27" s="298" t="n"/>
      <c r="P27" s="62">
        <f>SUM(P19:P26)</f>
        <v/>
      </c>
      <c r="Q27" s="63">
        <f>SUM(Q19:Q26)</f>
        <v/>
      </c>
      <c r="R27" s="63">
        <f>SUM(R19:R26)</f>
        <v/>
      </c>
      <c r="S27" s="63">
        <f>SUM(S19:S26)</f>
        <v/>
      </c>
      <c r="T27" s="64">
        <f>SUM(T19:T26)</f>
        <v/>
      </c>
    </row>
    <row r="28" ht="15.75" customFormat="1" customHeight="1" s="7" thickBot="1">
      <c r="A28" s="223" t="inlineStr">
        <is>
          <t>Subtotal Labour</t>
        </is>
      </c>
      <c r="B28" s="256" t="n"/>
      <c r="C28" s="256" t="n"/>
      <c r="D28" s="256" t="n"/>
      <c r="E28" s="257" t="n"/>
      <c r="F28" s="3">
        <f>F16+F27</f>
        <v/>
      </c>
      <c r="G28" s="299" t="n"/>
      <c r="H28" s="47">
        <f>H16+H27</f>
        <v/>
      </c>
      <c r="I28" s="300" t="n"/>
      <c r="J28" s="301" t="n"/>
      <c r="K28" s="302" t="n"/>
      <c r="L28" s="43">
        <f>L16+L27</f>
        <v/>
      </c>
      <c r="M28" s="303" t="n"/>
      <c r="N28" s="88">
        <f>N16+N27</f>
        <v/>
      </c>
      <c r="O28" s="281" t="n"/>
      <c r="P28" s="59">
        <f>P16+P27</f>
        <v/>
      </c>
      <c r="Q28" s="60">
        <f>Q16+Q27</f>
        <v/>
      </c>
      <c r="R28" s="60">
        <f>R16+R27</f>
        <v/>
      </c>
      <c r="S28" s="60">
        <f>S16+S27</f>
        <v/>
      </c>
      <c r="T28" s="61">
        <f>T16+T27</f>
        <v/>
      </c>
    </row>
    <row r="29" ht="34.5" customFormat="1" customHeight="1" s="7" thickBot="1" thickTop="1">
      <c r="A29" s="213" t="inlineStr">
        <is>
          <t>Subcontractors</t>
        </is>
      </c>
      <c r="U29" s="8" t="n"/>
      <c r="V29" s="8" t="n"/>
      <c r="W29" s="8" t="n"/>
    </row>
    <row r="30" ht="18.95" customFormat="1" customHeight="1" s="7" thickBot="1">
      <c r="A30" s="83" t="inlineStr">
        <is>
          <t>Item</t>
        </is>
      </c>
      <c r="B30" s="83" t="inlineStr">
        <is>
          <t>Task</t>
        </is>
      </c>
      <c r="C30" s="83" t="inlineStr">
        <is>
          <t>Surcharge</t>
        </is>
      </c>
      <c r="D30" s="249" t="n"/>
      <c r="E30" s="83" t="inlineStr">
        <is>
          <t>Days/Units</t>
        </is>
      </c>
      <c r="F30" s="249" t="n"/>
      <c r="G30" s="84" t="inlineStr">
        <is>
          <t>Other</t>
        </is>
      </c>
      <c r="H30" s="249" t="n"/>
      <c r="I30" s="84" t="inlineStr">
        <is>
          <t>Total Surcharge</t>
        </is>
      </c>
      <c r="J30" s="249" t="n"/>
      <c r="K30" s="84" t="inlineStr">
        <is>
          <t>Unit Price</t>
        </is>
      </c>
      <c r="L30" s="249" t="n"/>
      <c r="M30" s="84" t="inlineStr">
        <is>
          <t>Subtotal 1</t>
        </is>
      </c>
      <c r="N30" s="249" t="n"/>
      <c r="O30" s="83" t="inlineStr">
        <is>
          <t>Margin</t>
        </is>
      </c>
      <c r="P30" s="218" t="inlineStr">
        <is>
          <t>Subtotal 2</t>
        </is>
      </c>
      <c r="Q30" s="174" t="inlineStr">
        <is>
          <t>Subtotal 3</t>
        </is>
      </c>
      <c r="R30" s="174" t="inlineStr">
        <is>
          <t>Subtotal 4</t>
        </is>
      </c>
      <c r="S30" s="174" t="inlineStr">
        <is>
          <t>Subtotal 5</t>
        </is>
      </c>
      <c r="T30" s="174" t="inlineStr">
        <is>
          <t>Subtotal 6</t>
        </is>
      </c>
      <c r="U30" s="8" t="n"/>
      <c r="V30" s="8" t="n"/>
      <c r="W30" s="8" t="n"/>
    </row>
    <row r="31" ht="19.5" customFormat="1" customHeight="1" s="7" thickBot="1">
      <c r="A31" s="255" t="n"/>
      <c r="B31" s="255" t="n"/>
      <c r="C31" s="250" t="n"/>
      <c r="D31" s="252" t="n"/>
      <c r="E31" s="250" t="n"/>
      <c r="F31" s="252" t="n"/>
      <c r="G31" s="250" t="n"/>
      <c r="H31" s="252" t="n"/>
      <c r="I31" s="250" t="n"/>
      <c r="J31" s="252" t="n"/>
      <c r="K31" s="250" t="n"/>
      <c r="L31" s="252" t="n"/>
      <c r="M31" s="250" t="n"/>
      <c r="N31" s="252" t="n"/>
      <c r="O31" s="255" t="n"/>
      <c r="Q31" s="174" t="n">
        <v>1</v>
      </c>
      <c r="R31" s="174" t="n">
        <v>1</v>
      </c>
      <c r="S31" s="174" t="n">
        <v>1</v>
      </c>
      <c r="T31" s="174" t="n">
        <v>1</v>
      </c>
      <c r="U31" s="8" t="n"/>
      <c r="V31" s="8" t="n"/>
      <c r="W31" s="8" t="n"/>
    </row>
    <row r="32" ht="16.5" customFormat="1" customHeight="1" s="7" thickTop="1">
      <c r="A32" s="4" t="n">
        <v>1</v>
      </c>
      <c r="B32" s="5" t="inlineStr">
        <is>
          <t>Civil work</t>
        </is>
      </c>
      <c r="C32" s="4" t="n"/>
      <c r="D32" s="276" t="n"/>
      <c r="E32" s="4" t="n"/>
      <c r="F32" s="276" t="n"/>
      <c r="G32" s="4" t="n"/>
      <c r="H32" s="276" t="n"/>
      <c r="I32" s="304">
        <f>C32*E32*G32</f>
        <v/>
      </c>
      <c r="J32" s="268" t="n"/>
      <c r="K32" s="305" t="n"/>
      <c r="L32" s="276" t="n"/>
      <c r="M32" s="306">
        <f>K32*I32</f>
        <v/>
      </c>
      <c r="N32" s="268" t="n"/>
      <c r="O32" s="2" t="n">
        <v>0.95</v>
      </c>
      <c r="P32" s="53">
        <f>M32/O32</f>
        <v/>
      </c>
      <c r="Q32" s="65">
        <f>P32*$Q$31</f>
        <v/>
      </c>
      <c r="R32" s="65">
        <f>Q32*$R$31</f>
        <v/>
      </c>
      <c r="S32" s="65">
        <f>R32*$S$31</f>
        <v/>
      </c>
      <c r="T32" s="66">
        <f>S32*$T$31</f>
        <v/>
      </c>
      <c r="U32" s="8" t="n"/>
      <c r="V32" s="8" t="n"/>
      <c r="W32" s="8" t="n"/>
    </row>
    <row r="33" customFormat="1" s="7">
      <c r="A33" s="2" t="n">
        <v>2</v>
      </c>
      <c r="B33" s="6" t="inlineStr">
        <is>
          <t>Crane</t>
        </is>
      </c>
      <c r="C33" s="2" t="n"/>
      <c r="D33" s="257" t="n"/>
      <c r="E33" s="2" t="n"/>
      <c r="F33" s="257" t="n"/>
      <c r="G33" s="2" t="n"/>
      <c r="H33" s="257" t="n"/>
      <c r="I33" s="2">
        <f>C33*E33*G33</f>
        <v/>
      </c>
      <c r="J33" s="257" t="n"/>
      <c r="K33" s="275" t="n"/>
      <c r="L33" s="257" t="n"/>
      <c r="M33" s="129">
        <f>K33*I33</f>
        <v/>
      </c>
      <c r="N33" s="257" t="n"/>
      <c r="O33" s="2" t="n">
        <v>0.85</v>
      </c>
      <c r="P33" s="56">
        <f>M33/O33</f>
        <v/>
      </c>
      <c r="Q33" s="67">
        <f>P33*$Q$31</f>
        <v/>
      </c>
      <c r="R33" s="67">
        <f>Q33*$R$31</f>
        <v/>
      </c>
      <c r="S33" s="67">
        <f>R33*$S$31</f>
        <v/>
      </c>
      <c r="T33" s="68">
        <f>S33*$T$31</f>
        <v/>
      </c>
      <c r="U33" s="8" t="n"/>
      <c r="V33" s="8" t="n"/>
      <c r="W33" s="8" t="n"/>
    </row>
    <row r="34" customFormat="1" s="7">
      <c r="A34" s="2" t="n">
        <v>3</v>
      </c>
      <c r="B34" s="6" t="inlineStr">
        <is>
          <t>Millwrighting</t>
        </is>
      </c>
      <c r="C34" s="2" t="n"/>
      <c r="D34" s="257" t="n"/>
      <c r="E34" s="2" t="n"/>
      <c r="F34" s="257" t="n"/>
      <c r="G34" s="2" t="n"/>
      <c r="H34" s="257" t="n"/>
      <c r="I34" s="2">
        <f>C34*E34*G34</f>
        <v/>
      </c>
      <c r="J34" s="257" t="n"/>
      <c r="K34" s="275" t="n"/>
      <c r="L34" s="257" t="n"/>
      <c r="M34" s="129">
        <f>K34*I34</f>
        <v/>
      </c>
      <c r="N34" s="257" t="n"/>
      <c r="O34" s="2" t="n">
        <v>0.85</v>
      </c>
      <c r="P34" s="56">
        <f>M34/O34</f>
        <v/>
      </c>
      <c r="Q34" s="67">
        <f>P34*$Q$31</f>
        <v/>
      </c>
      <c r="R34" s="67">
        <f>Q34*$R$31</f>
        <v/>
      </c>
      <c r="S34" s="67">
        <f>R34*$S$31</f>
        <v/>
      </c>
      <c r="T34" s="68">
        <f>S34*$T$31</f>
        <v/>
      </c>
      <c r="U34" s="8" t="n"/>
      <c r="V34" s="8" t="n"/>
      <c r="W34" s="8" t="n"/>
    </row>
    <row r="35" customFormat="1" s="7">
      <c r="A35" s="2" t="n">
        <v>4</v>
      </c>
      <c r="B35" s="6" t="inlineStr">
        <is>
          <t>Temp Door</t>
        </is>
      </c>
      <c r="C35" s="2" t="n"/>
      <c r="D35" s="257" t="n"/>
      <c r="E35" s="2" t="n"/>
      <c r="F35" s="257" t="n"/>
      <c r="G35" s="2" t="n"/>
      <c r="H35" s="257" t="n"/>
      <c r="I35" s="2">
        <f>C35*E35*G35</f>
        <v/>
      </c>
      <c r="J35" s="257" t="n"/>
      <c r="K35" s="275" t="n"/>
      <c r="L35" s="257" t="n"/>
      <c r="M35" s="129">
        <f>K35*I35</f>
        <v/>
      </c>
      <c r="N35" s="257" t="n"/>
      <c r="O35" s="2" t="n">
        <v>0.85</v>
      </c>
      <c r="P35" s="56">
        <f>M35/O35</f>
        <v/>
      </c>
      <c r="Q35" s="67">
        <f>P35*$Q$31</f>
        <v/>
      </c>
      <c r="R35" s="67">
        <f>Q35*$R$31</f>
        <v/>
      </c>
      <c r="S35" s="67">
        <f>R35*$S$31</f>
        <v/>
      </c>
      <c r="T35" s="68">
        <f>S35*$T$31</f>
        <v/>
      </c>
      <c r="U35" s="8" t="n"/>
      <c r="V35" s="8" t="n"/>
      <c r="W35" s="8" t="n"/>
    </row>
    <row r="36" customFormat="1" s="7">
      <c r="A36" s="2" t="n">
        <v>5</v>
      </c>
      <c r="B36" s="6" t="inlineStr">
        <is>
          <t>Bonding Costs</t>
        </is>
      </c>
      <c r="C36" s="2" t="n"/>
      <c r="D36" s="257" t="n"/>
      <c r="E36" s="2" t="n"/>
      <c r="F36" s="257" t="n"/>
      <c r="G36" s="2" t="n"/>
      <c r="H36" s="257" t="n"/>
      <c r="I36" s="2">
        <f>C36*E36*G36</f>
        <v/>
      </c>
      <c r="J36" s="257" t="n"/>
      <c r="K36" s="275" t="n"/>
      <c r="L36" s="257" t="n"/>
      <c r="M36" s="129">
        <f>K36*I36</f>
        <v/>
      </c>
      <c r="N36" s="257" t="n"/>
      <c r="O36" s="2" t="n">
        <v>0.85</v>
      </c>
      <c r="P36" s="56">
        <f>M36/O36</f>
        <v/>
      </c>
      <c r="Q36" s="67">
        <f>P36*$Q$31</f>
        <v/>
      </c>
      <c r="R36" s="67">
        <f>Q36*$R$31</f>
        <v/>
      </c>
      <c r="S36" s="67">
        <f>R36*$S$31</f>
        <v/>
      </c>
      <c r="T36" s="68">
        <f>S36*$T$31</f>
        <v/>
      </c>
      <c r="U36" s="8" t="n"/>
      <c r="V36" s="8" t="n"/>
      <c r="W36" s="8" t="n"/>
    </row>
    <row r="37" customFormat="1" s="7">
      <c r="A37" s="2" t="n"/>
      <c r="B37" s="6" t="n"/>
      <c r="C37" s="2" t="n"/>
      <c r="D37" s="257" t="n"/>
      <c r="E37" s="2" t="n"/>
      <c r="F37" s="257" t="n"/>
      <c r="G37" s="2" t="n"/>
      <c r="H37" s="257" t="n"/>
      <c r="I37" s="2">
        <f>C37*E37*G37</f>
        <v/>
      </c>
      <c r="J37" s="257" t="n"/>
      <c r="K37" s="275" t="n"/>
      <c r="L37" s="257" t="n"/>
      <c r="M37" s="129">
        <f>K37*I37</f>
        <v/>
      </c>
      <c r="N37" s="257" t="n"/>
      <c r="O37" s="2" t="n">
        <v>0.85</v>
      </c>
      <c r="P37" s="56">
        <f>M37/O37</f>
        <v/>
      </c>
      <c r="Q37" s="67">
        <f>P37*$Q$31</f>
        <v/>
      </c>
      <c r="R37" s="67">
        <f>Q37*$R$31</f>
        <v/>
      </c>
      <c r="S37" s="67">
        <f>R37*$S$31</f>
        <v/>
      </c>
      <c r="T37" s="68">
        <f>S37*$T$31</f>
        <v/>
      </c>
      <c r="U37" s="8" t="n"/>
      <c r="V37" s="8" t="n"/>
      <c r="W37" s="8" t="n"/>
    </row>
    <row r="38" customFormat="1" s="7">
      <c r="A38" s="2" t="n"/>
      <c r="B38" s="6" t="n"/>
      <c r="C38" s="2" t="n"/>
      <c r="D38" s="257" t="n"/>
      <c r="E38" s="2" t="n"/>
      <c r="F38" s="257" t="n"/>
      <c r="G38" s="2" t="n"/>
      <c r="H38" s="257" t="n"/>
      <c r="I38" s="4">
        <f>C38*E38*G38</f>
        <v/>
      </c>
      <c r="J38" s="276" t="n"/>
      <c r="K38" s="275" t="n"/>
      <c r="L38" s="257" t="n"/>
      <c r="M38" s="277">
        <f>K38*I38</f>
        <v/>
      </c>
      <c r="N38" s="276" t="n"/>
      <c r="O38" s="2" t="n">
        <v>0.85</v>
      </c>
      <c r="P38" s="56">
        <f>M38/O38</f>
        <v/>
      </c>
      <c r="Q38" s="67">
        <f>P38*$Q$31</f>
        <v/>
      </c>
      <c r="R38" s="67">
        <f>Q38*$R$31</f>
        <v/>
      </c>
      <c r="S38" s="67">
        <f>R38*$S$31</f>
        <v/>
      </c>
      <c r="T38" s="68">
        <f>S38*$T$31</f>
        <v/>
      </c>
      <c r="U38" s="8" t="n"/>
      <c r="V38" s="8" t="n"/>
      <c r="W38" s="8" t="n"/>
    </row>
    <row r="39" ht="15.75" customFormat="1" customHeight="1" s="7" thickBot="1">
      <c r="A39" s="155" t="inlineStr">
        <is>
          <t>Subtotal Subcontractors</t>
        </is>
      </c>
      <c r="B39" s="278" t="n"/>
      <c r="C39" s="278" t="n"/>
      <c r="D39" s="278" t="n"/>
      <c r="E39" s="278" t="n"/>
      <c r="F39" s="278" t="n"/>
      <c r="G39" s="278" t="n"/>
      <c r="H39" s="278" t="n"/>
      <c r="I39" s="278" t="n"/>
      <c r="J39" s="278" t="n"/>
      <c r="K39" s="278" t="n"/>
      <c r="L39" s="278" t="n"/>
      <c r="M39" s="278" t="n"/>
      <c r="N39" s="278" t="n"/>
      <c r="O39" s="278" t="n"/>
      <c r="P39" s="59">
        <f>SUM(P32:P38)</f>
        <v/>
      </c>
      <c r="Q39" s="60">
        <f>SUM(Q32:Q38)</f>
        <v/>
      </c>
      <c r="R39" s="60">
        <f>SUM(R32:R38)</f>
        <v/>
      </c>
      <c r="S39" s="60">
        <f>SUM(S32:S38)</f>
        <v/>
      </c>
      <c r="T39" s="61">
        <f>SUM(T32:T38)</f>
        <v/>
      </c>
      <c r="U39" s="8" t="n"/>
      <c r="V39" s="8" t="n"/>
      <c r="W39" s="8" t="n"/>
    </row>
    <row r="40" ht="34.5" customHeight="1" thickBot="1">
      <c r="A40" s="231" t="inlineStr">
        <is>
          <t>Materials and Equipment</t>
        </is>
      </c>
      <c r="U40" s="8" t="n"/>
      <c r="V40" s="8" t="n"/>
      <c r="W40" s="8" t="n"/>
    </row>
    <row r="41" ht="18.95" customHeight="1" thickBot="1">
      <c r="A41" s="83" t="inlineStr">
        <is>
          <t>Item</t>
        </is>
      </c>
      <c r="B41" s="83" t="inlineStr">
        <is>
          <t>Material Item</t>
        </is>
      </c>
      <c r="C41" s="83" t="inlineStr">
        <is>
          <t>Surcharge</t>
        </is>
      </c>
      <c r="D41" s="249" t="n"/>
      <c r="E41" s="83" t="inlineStr">
        <is>
          <t>Units/Length</t>
        </is>
      </c>
      <c r="F41" s="249" t="n"/>
      <c r="G41" s="84" t="inlineStr">
        <is>
          <t>Other</t>
        </is>
      </c>
      <c r="H41" s="249" t="n"/>
      <c r="I41" s="84" t="inlineStr">
        <is>
          <t>Total Surcharge</t>
        </is>
      </c>
      <c r="J41" s="249" t="n"/>
      <c r="K41" s="84" t="inlineStr">
        <is>
          <t>Unit Price</t>
        </is>
      </c>
      <c r="L41" s="249" t="n"/>
      <c r="M41" s="84" t="inlineStr">
        <is>
          <t>Subtotal 1</t>
        </is>
      </c>
      <c r="N41" s="249" t="n"/>
      <c r="O41" s="83" t="inlineStr">
        <is>
          <t>Margin</t>
        </is>
      </c>
      <c r="P41" s="218" t="inlineStr">
        <is>
          <t>Subtotal 2</t>
        </is>
      </c>
      <c r="Q41" s="174" t="inlineStr">
        <is>
          <t>Subtotal 3</t>
        </is>
      </c>
      <c r="R41" s="174" t="inlineStr">
        <is>
          <t>Subtotal 4</t>
        </is>
      </c>
      <c r="S41" s="174" t="inlineStr">
        <is>
          <t>Subtotal 5</t>
        </is>
      </c>
      <c r="T41" s="174" t="inlineStr">
        <is>
          <t>Subtotal 6</t>
        </is>
      </c>
      <c r="U41" s="8" t="n"/>
      <c r="V41" s="8" t="n"/>
      <c r="W41" s="8" t="n"/>
    </row>
    <row r="42" ht="19.5" customHeight="1" thickBot="1">
      <c r="A42" s="255" t="n"/>
      <c r="B42" s="255" t="n"/>
      <c r="C42" s="250" t="n"/>
      <c r="D42" s="252" t="n"/>
      <c r="E42" s="250" t="n"/>
      <c r="F42" s="252" t="n"/>
      <c r="G42" s="250" t="n"/>
      <c r="H42" s="252" t="n"/>
      <c r="I42" s="250" t="n"/>
      <c r="J42" s="252" t="n"/>
      <c r="K42" s="250" t="n"/>
      <c r="L42" s="252" t="n"/>
      <c r="M42" s="250" t="n"/>
      <c r="N42" s="252" t="n"/>
      <c r="O42" s="255" t="n"/>
      <c r="Q42" s="174" t="n">
        <v>1</v>
      </c>
      <c r="R42" s="174" t="n">
        <v>1</v>
      </c>
      <c r="S42" s="174" t="n">
        <v>1</v>
      </c>
      <c r="T42" s="174" t="n">
        <v>1</v>
      </c>
      <c r="U42" s="8" t="n"/>
      <c r="V42" s="8" t="n"/>
      <c r="W42" s="8" t="n"/>
    </row>
    <row r="43" ht="16.5" customHeight="1" thickTop="1">
      <c r="A43" s="4" t="n">
        <v>1</v>
      </c>
      <c r="B43" s="5" t="inlineStr">
        <is>
          <t>Digitrip 520 MC</t>
        </is>
      </c>
      <c r="C43" s="304" t="n"/>
      <c r="D43" s="268" t="n"/>
      <c r="E43" s="304" t="n"/>
      <c r="F43" s="268" t="n"/>
      <c r="G43" s="304" t="n"/>
      <c r="H43" s="268" t="n"/>
      <c r="I43" s="304">
        <f>G43*E43*C43</f>
        <v/>
      </c>
      <c r="J43" s="268" t="n"/>
      <c r="K43" s="307" t="n"/>
      <c r="L43" s="268" t="n"/>
      <c r="M43" s="306">
        <f>K43*I43</f>
        <v/>
      </c>
      <c r="N43" s="268" t="n"/>
      <c r="O43" s="2" t="n">
        <v>0.85</v>
      </c>
      <c r="P43" s="69">
        <f>M43/O43</f>
        <v/>
      </c>
      <c r="Q43" s="54">
        <f>P43*$Q$42</f>
        <v/>
      </c>
      <c r="R43" s="54">
        <f>Q43*$R$42</f>
        <v/>
      </c>
      <c r="S43" s="54">
        <f>R43*$S$42</f>
        <v/>
      </c>
      <c r="T43" s="55">
        <f>S43*$T$42</f>
        <v/>
      </c>
      <c r="U43" s="8" t="n"/>
      <c r="V43" s="8" t="n"/>
      <c r="W43" s="8" t="n"/>
    </row>
    <row r="44" customFormat="1" s="8">
      <c r="A44" s="4" t="n">
        <v>2</v>
      </c>
      <c r="B44" s="6" t="inlineStr">
        <is>
          <t>CSL</t>
        </is>
      </c>
      <c r="C44" s="2" t="n"/>
      <c r="D44" s="257" t="n"/>
      <c r="E44" s="2" t="n"/>
      <c r="F44" s="257" t="n"/>
      <c r="G44" s="2" t="n"/>
      <c r="H44" s="257" t="n"/>
      <c r="I44" s="2">
        <f>G44*E44*C44</f>
        <v/>
      </c>
      <c r="J44" s="257" t="n"/>
      <c r="K44" s="275" t="n"/>
      <c r="L44" s="257" t="n"/>
      <c r="M44" s="129">
        <f>K44*I44</f>
        <v/>
      </c>
      <c r="N44" s="257" t="n"/>
      <c r="O44" s="2" t="n">
        <v>0.85</v>
      </c>
      <c r="P44" s="70">
        <f>M44/O44</f>
        <v/>
      </c>
      <c r="Q44" s="57">
        <f>P44*$Q$42</f>
        <v/>
      </c>
      <c r="R44" s="57">
        <f>Q44*$R$42</f>
        <v/>
      </c>
      <c r="S44" s="57">
        <f>R44*$S$42</f>
        <v/>
      </c>
      <c r="T44" s="58">
        <f>S44*$T$42</f>
        <v/>
      </c>
    </row>
    <row r="45" customFormat="1" s="8">
      <c r="A45" s="4" t="n">
        <v>3</v>
      </c>
      <c r="B45" s="6" t="inlineStr">
        <is>
          <t>Pioneer</t>
        </is>
      </c>
      <c r="C45" s="2" t="n"/>
      <c r="D45" s="257" t="n"/>
      <c r="E45" s="2" t="n"/>
      <c r="F45" s="257" t="n"/>
      <c r="G45" s="2" t="n"/>
      <c r="H45" s="257" t="n"/>
      <c r="I45" s="2">
        <f>G45*E45*C45</f>
        <v/>
      </c>
      <c r="J45" s="257" t="n"/>
      <c r="K45" s="275" t="n"/>
      <c r="L45" s="257" t="n"/>
      <c r="M45" s="129">
        <f>K45*I45</f>
        <v/>
      </c>
      <c r="N45" s="257" t="n"/>
      <c r="O45" s="2" t="n">
        <v>0.85</v>
      </c>
      <c r="P45" s="70">
        <f>M45/O45</f>
        <v/>
      </c>
      <c r="Q45" s="57">
        <f>P45*$Q$42</f>
        <v/>
      </c>
      <c r="R45" s="57">
        <f>Q45*$R$42</f>
        <v/>
      </c>
      <c r="S45" s="57">
        <f>R45*$S$42</f>
        <v/>
      </c>
      <c r="T45" s="58">
        <f>S45*$T$42</f>
        <v/>
      </c>
    </row>
    <row r="46" customFormat="1" s="8">
      <c r="A46" s="4" t="n">
        <v>4</v>
      </c>
      <c r="B46" s="6" t="inlineStr">
        <is>
          <t>Materials</t>
        </is>
      </c>
      <c r="C46" s="2" t="n"/>
      <c r="D46" s="257" t="n"/>
      <c r="E46" s="2" t="n"/>
      <c r="F46" s="257" t="n"/>
      <c r="G46" s="2" t="n"/>
      <c r="H46" s="257" t="n"/>
      <c r="I46" s="2">
        <f>G46*E46*C46</f>
        <v/>
      </c>
      <c r="J46" s="257" t="n"/>
      <c r="K46" s="275" t="n"/>
      <c r="L46" s="257" t="n"/>
      <c r="M46" s="129">
        <f>K46*I46</f>
        <v/>
      </c>
      <c r="N46" s="257" t="n"/>
      <c r="O46" s="2" t="n">
        <v>0.85</v>
      </c>
      <c r="P46" s="70">
        <f>M46/O46</f>
        <v/>
      </c>
      <c r="Q46" s="57">
        <f>P46*$Q$42</f>
        <v/>
      </c>
      <c r="R46" s="57">
        <f>Q46*$R$42</f>
        <v/>
      </c>
      <c r="S46" s="57">
        <f>R46*$S$42</f>
        <v/>
      </c>
      <c r="T46" s="58">
        <f>S46*$T$42</f>
        <v/>
      </c>
    </row>
    <row r="47" customFormat="1" s="8">
      <c r="A47" s="4" t="n">
        <v>5</v>
      </c>
      <c r="B47" s="6" t="inlineStr">
        <is>
          <t>Rigid 90deg - 3/4"</t>
        </is>
      </c>
      <c r="C47" s="2" t="n"/>
      <c r="D47" s="257" t="n"/>
      <c r="E47" s="2" t="n"/>
      <c r="F47" s="257" t="n"/>
      <c r="G47" s="2" t="n"/>
      <c r="H47" s="257" t="n"/>
      <c r="I47" s="2">
        <f>G47*E47*C47</f>
        <v/>
      </c>
      <c r="J47" s="257" t="n"/>
      <c r="K47" s="275" t="n"/>
      <c r="L47" s="257" t="n"/>
      <c r="M47" s="129">
        <f>K47*I47</f>
        <v/>
      </c>
      <c r="N47" s="257" t="n"/>
      <c r="O47" s="2" t="n">
        <v>0.85</v>
      </c>
      <c r="P47" s="70">
        <f>M47/O47</f>
        <v/>
      </c>
      <c r="Q47" s="57">
        <f>P47*$Q$42</f>
        <v/>
      </c>
      <c r="R47" s="57">
        <f>Q47*$R$42</f>
        <v/>
      </c>
      <c r="S47" s="57">
        <f>R47*$S$42</f>
        <v/>
      </c>
      <c r="T47" s="58">
        <f>S47*$T$42</f>
        <v/>
      </c>
    </row>
    <row r="48" customFormat="1" s="8">
      <c r="A48" s="4" t="n">
        <v>6</v>
      </c>
      <c r="B48" s="6" t="inlineStr">
        <is>
          <t>Rigid Bullet Hub Connectors - 3/4" and Nut</t>
        </is>
      </c>
      <c r="C48" s="2" t="n"/>
      <c r="D48" s="257" t="n"/>
      <c r="E48" s="2" t="n"/>
      <c r="F48" s="257" t="n"/>
      <c r="G48" s="2" t="n"/>
      <c r="H48" s="257" t="n"/>
      <c r="I48" s="2">
        <f>G48*E48*C48</f>
        <v/>
      </c>
      <c r="J48" s="257" t="n"/>
      <c r="K48" s="275" t="n"/>
      <c r="L48" s="257" t="n"/>
      <c r="M48" s="129">
        <f>K48*I48</f>
        <v/>
      </c>
      <c r="N48" s="257" t="n"/>
      <c r="O48" s="2" t="n">
        <v>0.85</v>
      </c>
      <c r="P48" s="70">
        <f>M48/O48</f>
        <v/>
      </c>
      <c r="Q48" s="57">
        <f>P48*$Q$42</f>
        <v/>
      </c>
      <c r="R48" s="57">
        <f>Q48*$R$42</f>
        <v/>
      </c>
      <c r="S48" s="57">
        <f>R48*$S$42</f>
        <v/>
      </c>
      <c r="T48" s="58">
        <f>S48*$T$42</f>
        <v/>
      </c>
    </row>
    <row r="49" customFormat="1" s="8">
      <c r="A49" s="4" t="n">
        <v>7</v>
      </c>
      <c r="B49" s="6" t="inlineStr">
        <is>
          <t>Rigid conduit 1"</t>
        </is>
      </c>
      <c r="C49" s="2" t="n"/>
      <c r="D49" s="257" t="n"/>
      <c r="E49" s="2" t="n"/>
      <c r="F49" s="257" t="n"/>
      <c r="G49" s="2" t="n"/>
      <c r="H49" s="257" t="n"/>
      <c r="I49" s="2">
        <f>G49*E49*C49</f>
        <v/>
      </c>
      <c r="J49" s="257" t="n"/>
      <c r="K49" s="275" t="n"/>
      <c r="L49" s="257" t="n"/>
      <c r="M49" s="129">
        <f>K49*I49</f>
        <v/>
      </c>
      <c r="N49" s="257" t="n"/>
      <c r="O49" s="2" t="n">
        <v>0.85</v>
      </c>
      <c r="P49" s="70">
        <f>M49/O49</f>
        <v/>
      </c>
      <c r="Q49" s="57">
        <f>P49*$Q$42</f>
        <v/>
      </c>
      <c r="R49" s="57">
        <f>Q49*$R$42</f>
        <v/>
      </c>
      <c r="S49" s="57">
        <f>R49*$S$42</f>
        <v/>
      </c>
      <c r="T49" s="58">
        <f>S49*$T$42</f>
        <v/>
      </c>
    </row>
    <row r="50" customFormat="1" s="8">
      <c r="A50" s="4" t="n">
        <v>8</v>
      </c>
      <c r="B50" s="6" t="inlineStr">
        <is>
          <t>Rigid Coupling 1"</t>
        </is>
      </c>
      <c r="C50" s="2" t="n"/>
      <c r="D50" s="257" t="n"/>
      <c r="E50" s="2" t="n"/>
      <c r="F50" s="257" t="n"/>
      <c r="G50" s="2" t="n"/>
      <c r="H50" s="257" t="n"/>
      <c r="I50" s="2">
        <f>G50*E50*C50</f>
        <v/>
      </c>
      <c r="J50" s="257" t="n"/>
      <c r="K50" s="275" t="n"/>
      <c r="L50" s="257" t="n"/>
      <c r="M50" s="129">
        <f>K50*I50</f>
        <v/>
      </c>
      <c r="N50" s="257" t="n"/>
      <c r="O50" s="2" t="n">
        <v>0.85</v>
      </c>
      <c r="P50" s="70">
        <f>M50/O50</f>
        <v/>
      </c>
      <c r="Q50" s="57">
        <f>P50*$Q$42</f>
        <v/>
      </c>
      <c r="R50" s="57">
        <f>Q50*$R$42</f>
        <v/>
      </c>
      <c r="S50" s="57">
        <f>R50*$S$42</f>
        <v/>
      </c>
      <c r="T50" s="58">
        <f>S50*$T$42</f>
        <v/>
      </c>
    </row>
    <row r="51" customFormat="1" s="8">
      <c r="A51" s="4" t="n">
        <v>9</v>
      </c>
      <c r="B51" s="6" t="inlineStr">
        <is>
          <t>Rigid 90deg - 1"</t>
        </is>
      </c>
      <c r="C51" s="2" t="n"/>
      <c r="D51" s="257" t="n"/>
      <c r="E51" s="2" t="n"/>
      <c r="F51" s="257" t="n"/>
      <c r="G51" s="2" t="n"/>
      <c r="H51" s="257" t="n"/>
      <c r="I51" s="2">
        <f>G51*E51*C51</f>
        <v/>
      </c>
      <c r="J51" s="257" t="n"/>
      <c r="K51" s="275" t="n"/>
      <c r="L51" s="257" t="n"/>
      <c r="M51" s="129">
        <f>K51*I51</f>
        <v/>
      </c>
      <c r="N51" s="257" t="n"/>
      <c r="O51" s="2" t="n">
        <v>0.85</v>
      </c>
      <c r="P51" s="70">
        <f>M51/O51</f>
        <v/>
      </c>
      <c r="Q51" s="57">
        <f>P51*$Q$42</f>
        <v/>
      </c>
      <c r="R51" s="57">
        <f>Q51*$R$42</f>
        <v/>
      </c>
      <c r="S51" s="57">
        <f>R51*$S$42</f>
        <v/>
      </c>
      <c r="T51" s="58">
        <f>S51*$T$42</f>
        <v/>
      </c>
    </row>
    <row r="52" customFormat="1" s="8">
      <c r="A52" s="4" t="n">
        <v>10</v>
      </c>
      <c r="B52" s="6" t="inlineStr">
        <is>
          <t>Rigid Bullet Hub Connectors - 1" and Nut</t>
        </is>
      </c>
      <c r="C52" s="2" t="n"/>
      <c r="D52" s="257" t="n"/>
      <c r="E52" s="2" t="n"/>
      <c r="F52" s="257" t="n"/>
      <c r="G52" s="2" t="n"/>
      <c r="H52" s="257" t="n"/>
      <c r="I52" s="2">
        <f>G52*E52*C52</f>
        <v/>
      </c>
      <c r="J52" s="257" t="n"/>
      <c r="K52" s="275" t="n"/>
      <c r="L52" s="257" t="n"/>
      <c r="M52" s="129">
        <f>K52*I52</f>
        <v/>
      </c>
      <c r="N52" s="257" t="n"/>
      <c r="O52" s="2" t="n">
        <v>0.85</v>
      </c>
      <c r="P52" s="70">
        <f>M52/O52</f>
        <v/>
      </c>
      <c r="Q52" s="57">
        <f>P52*$Q$42</f>
        <v/>
      </c>
      <c r="R52" s="57">
        <f>Q52*$R$42</f>
        <v/>
      </c>
      <c r="S52" s="57">
        <f>R52*$S$42</f>
        <v/>
      </c>
      <c r="T52" s="58">
        <f>S52*$T$42</f>
        <v/>
      </c>
    </row>
    <row r="53" customFormat="1" s="8">
      <c r="A53" s="4" t="n">
        <v>11</v>
      </c>
      <c r="B53" s="6" t="inlineStr">
        <is>
          <t>Rigid conduit 2"</t>
        </is>
      </c>
      <c r="C53" s="2" t="n"/>
      <c r="D53" s="257" t="n"/>
      <c r="E53" s="2" t="n"/>
      <c r="F53" s="257" t="n"/>
      <c r="G53" s="2" t="n"/>
      <c r="H53" s="257" t="n"/>
      <c r="I53" s="2">
        <f>G53*E53*C53</f>
        <v/>
      </c>
      <c r="J53" s="257" t="n"/>
      <c r="K53" s="275" t="n"/>
      <c r="L53" s="257" t="n"/>
      <c r="M53" s="129">
        <f>K53*I53</f>
        <v/>
      </c>
      <c r="N53" s="257" t="n"/>
      <c r="O53" s="2" t="n">
        <v>0.85</v>
      </c>
      <c r="P53" s="70">
        <f>M53/O53</f>
        <v/>
      </c>
      <c r="Q53" s="57">
        <f>P53*$Q$42</f>
        <v/>
      </c>
      <c r="R53" s="57">
        <f>Q53*$R$42</f>
        <v/>
      </c>
      <c r="S53" s="57">
        <f>R53*$S$42</f>
        <v/>
      </c>
      <c r="T53" s="58">
        <f>S53*$T$42</f>
        <v/>
      </c>
    </row>
    <row r="54" customFormat="1" s="8">
      <c r="A54" s="4" t="n">
        <v>12</v>
      </c>
      <c r="B54" s="6" t="inlineStr">
        <is>
          <t>Rigid Coupling 2"</t>
        </is>
      </c>
      <c r="C54" s="2" t="n"/>
      <c r="D54" s="257" t="n"/>
      <c r="E54" s="2" t="n"/>
      <c r="F54" s="257" t="n"/>
      <c r="G54" s="2" t="n"/>
      <c r="H54" s="257" t="n"/>
      <c r="I54" s="2">
        <f>G54*E54*C54</f>
        <v/>
      </c>
      <c r="J54" s="257" t="n"/>
      <c r="K54" s="275" t="n"/>
      <c r="L54" s="257" t="n"/>
      <c r="M54" s="129">
        <f>K54*I54</f>
        <v/>
      </c>
      <c r="N54" s="257" t="n"/>
      <c r="O54" s="2" t="n">
        <v>0.85</v>
      </c>
      <c r="P54" s="70">
        <f>M54/O54</f>
        <v/>
      </c>
      <c r="Q54" s="57">
        <f>P54*$Q$42</f>
        <v/>
      </c>
      <c r="R54" s="57">
        <f>Q54*$R$42</f>
        <v/>
      </c>
      <c r="S54" s="57">
        <f>R54*$S$42</f>
        <v/>
      </c>
      <c r="T54" s="58">
        <f>S54*$T$42</f>
        <v/>
      </c>
    </row>
    <row r="55" customFormat="1" s="8">
      <c r="A55" s="4" t="n">
        <v>13</v>
      </c>
      <c r="B55" s="6" t="inlineStr">
        <is>
          <t>Rigid 90deg - 2"</t>
        </is>
      </c>
      <c r="C55" s="2" t="n"/>
      <c r="D55" s="257" t="n"/>
      <c r="E55" s="2" t="n"/>
      <c r="F55" s="257" t="n"/>
      <c r="G55" s="2" t="n"/>
      <c r="H55" s="257" t="n"/>
      <c r="I55" s="2">
        <f>G55*E55*C55</f>
        <v/>
      </c>
      <c r="J55" s="257" t="n"/>
      <c r="K55" s="275" t="n"/>
      <c r="L55" s="257" t="n"/>
      <c r="M55" s="129">
        <f>K55*I55</f>
        <v/>
      </c>
      <c r="N55" s="257" t="n"/>
      <c r="O55" s="2" t="n">
        <v>0.85</v>
      </c>
      <c r="P55" s="70">
        <f>M55/O55</f>
        <v/>
      </c>
      <c r="Q55" s="57">
        <f>P55*$Q$42</f>
        <v/>
      </c>
      <c r="R55" s="57">
        <f>Q55*$R$42</f>
        <v/>
      </c>
      <c r="S55" s="57">
        <f>R55*$S$42</f>
        <v/>
      </c>
      <c r="T55" s="58">
        <f>S55*$T$42</f>
        <v/>
      </c>
    </row>
    <row r="56" customFormat="1" s="8">
      <c r="A56" s="4" t="n">
        <v>14</v>
      </c>
      <c r="B56" s="6" t="inlineStr">
        <is>
          <t>Rigid Bullet Hub Connectors - 2" and Nut</t>
        </is>
      </c>
      <c r="C56" s="2" t="n"/>
      <c r="D56" s="257" t="n"/>
      <c r="E56" s="2" t="n"/>
      <c r="F56" s="257" t="n"/>
      <c r="G56" s="2" t="n"/>
      <c r="H56" s="257" t="n"/>
      <c r="I56" s="2">
        <f>G56*E56*C56</f>
        <v/>
      </c>
      <c r="J56" s="257" t="n"/>
      <c r="K56" s="275" t="n"/>
      <c r="L56" s="257" t="n"/>
      <c r="M56" s="129">
        <f>K56*I56</f>
        <v/>
      </c>
      <c r="N56" s="257" t="n"/>
      <c r="O56" s="2" t="n">
        <v>0.85</v>
      </c>
      <c r="P56" s="70">
        <f>M56/O56</f>
        <v/>
      </c>
      <c r="Q56" s="57">
        <f>P56*$Q$42</f>
        <v/>
      </c>
      <c r="R56" s="57">
        <f>Q56*$R$42</f>
        <v/>
      </c>
      <c r="S56" s="57">
        <f>R56*$S$42</f>
        <v/>
      </c>
      <c r="T56" s="58">
        <f>S56*$T$42</f>
        <v/>
      </c>
    </row>
    <row r="57" customFormat="1" s="8">
      <c r="A57" s="4" t="n">
        <v>15</v>
      </c>
      <c r="B57" s="13" t="inlineStr">
        <is>
          <t>YGA282N - 2 Hole Lug, #4/o AWG</t>
        </is>
      </c>
      <c r="C57" s="2" t="n"/>
      <c r="D57" s="257" t="n"/>
      <c r="E57" s="2" t="n"/>
      <c r="F57" s="257" t="n"/>
      <c r="G57" s="2" t="n"/>
      <c r="H57" s="257" t="n"/>
      <c r="I57" s="2">
        <f>G57*E57*C57</f>
        <v/>
      </c>
      <c r="J57" s="257" t="n"/>
      <c r="K57" s="275" t="n"/>
      <c r="L57" s="257" t="n"/>
      <c r="M57" s="129">
        <f>K57*I57</f>
        <v/>
      </c>
      <c r="N57" s="257" t="n"/>
      <c r="O57" s="2" t="n">
        <v>0.85</v>
      </c>
      <c r="P57" s="70">
        <f>M57/O57</f>
        <v/>
      </c>
      <c r="Q57" s="57">
        <f>P57*$Q$42</f>
        <v/>
      </c>
      <c r="R57" s="57">
        <f>Q57*$R$42</f>
        <v/>
      </c>
      <c r="S57" s="57">
        <f>R57*$S$42</f>
        <v/>
      </c>
      <c r="T57" s="58">
        <f>S57*$T$42</f>
        <v/>
      </c>
    </row>
    <row r="58" customFormat="1" s="8">
      <c r="A58" s="4" t="n">
        <v>16</v>
      </c>
      <c r="B58" s="13" t="inlineStr">
        <is>
          <t>Mounting tape - VBH F-9473PB by 3M</t>
        </is>
      </c>
      <c r="C58" s="2" t="n"/>
      <c r="D58" s="257" t="n"/>
      <c r="E58" s="2" t="n"/>
      <c r="F58" s="257" t="n"/>
      <c r="G58" s="2" t="n"/>
      <c r="H58" s="257" t="n"/>
      <c r="I58" s="2">
        <f>G58*E58*C58</f>
        <v/>
      </c>
      <c r="J58" s="257" t="n"/>
      <c r="K58" s="275" t="n"/>
      <c r="L58" s="257" t="n"/>
      <c r="M58" s="129">
        <f>K58*I58</f>
        <v/>
      </c>
      <c r="N58" s="257" t="n"/>
      <c r="O58" s="2" t="n">
        <v>0.85</v>
      </c>
      <c r="P58" s="70">
        <f>M58/O58</f>
        <v/>
      </c>
      <c r="Q58" s="57">
        <f>P58*$Q$42</f>
        <v/>
      </c>
      <c r="R58" s="57">
        <f>Q58*$R$42</f>
        <v/>
      </c>
      <c r="S58" s="57">
        <f>R58*$S$42</f>
        <v/>
      </c>
      <c r="T58" s="58">
        <f>S58*$T$42</f>
        <v/>
      </c>
    </row>
    <row r="59" customFormat="1" s="8">
      <c r="A59" s="4" t="n">
        <v>17</v>
      </c>
      <c r="B59" s="13" t="inlineStr">
        <is>
          <t>Foam tape - VBH F-4910 by 3M</t>
        </is>
      </c>
      <c r="C59" s="2" t="n"/>
      <c r="D59" s="257" t="n"/>
      <c r="E59" s="2" t="n"/>
      <c r="F59" s="257" t="n"/>
      <c r="G59" s="2" t="n"/>
      <c r="H59" s="257" t="n"/>
      <c r="I59" s="2">
        <f>G59*E59*C59</f>
        <v/>
      </c>
      <c r="J59" s="257" t="n"/>
      <c r="K59" s="275" t="n"/>
      <c r="L59" s="257" t="n"/>
      <c r="M59" s="129">
        <f>K59*I59</f>
        <v/>
      </c>
      <c r="N59" s="257" t="n"/>
      <c r="O59" s="2" t="n">
        <v>0.85</v>
      </c>
      <c r="P59" s="70">
        <f>M59/O59</f>
        <v/>
      </c>
      <c r="Q59" s="57">
        <f>P59*$Q$42</f>
        <v/>
      </c>
      <c r="R59" s="57">
        <f>Q59*$R$42</f>
        <v/>
      </c>
      <c r="S59" s="57">
        <f>R59*$S$42</f>
        <v/>
      </c>
      <c r="T59" s="58">
        <f>S59*$T$42</f>
        <v/>
      </c>
    </row>
    <row r="60" customFormat="1" s="8">
      <c r="A60" s="4" t="n">
        <v>18</v>
      </c>
      <c r="B60" s="13" t="inlineStr">
        <is>
          <t>AS-7096N Sealant</t>
        </is>
      </c>
      <c r="C60" s="2" t="n"/>
      <c r="D60" s="257" t="n"/>
      <c r="E60" s="2" t="n"/>
      <c r="F60" s="257" t="n"/>
      <c r="G60" s="2" t="n"/>
      <c r="H60" s="257" t="n"/>
      <c r="I60" s="2">
        <f>G60*E60*C60</f>
        <v/>
      </c>
      <c r="J60" s="257" t="n"/>
      <c r="K60" s="275" t="n"/>
      <c r="L60" s="257" t="n"/>
      <c r="M60" s="129">
        <f>K60*I60</f>
        <v/>
      </c>
      <c r="N60" s="257" t="n"/>
      <c r="O60" s="2" t="n">
        <v>0.85</v>
      </c>
      <c r="P60" s="70">
        <f>M60/O60</f>
        <v/>
      </c>
      <c r="Q60" s="57">
        <f>P60*$Q$42</f>
        <v/>
      </c>
      <c r="R60" s="57">
        <f>Q60*$R$42</f>
        <v/>
      </c>
      <c r="S60" s="57">
        <f>R60*$S$42</f>
        <v/>
      </c>
      <c r="T60" s="58">
        <f>S60*$T$42</f>
        <v/>
      </c>
    </row>
    <row r="61" customFormat="1" s="8">
      <c r="A61" s="4" t="n">
        <v>19</v>
      </c>
      <c r="B61" s="13" t="inlineStr">
        <is>
          <t>Breaker HLL36060</t>
        </is>
      </c>
      <c r="C61" s="2" t="n"/>
      <c r="D61" s="257" t="n"/>
      <c r="E61" s="2" t="n"/>
      <c r="F61" s="257" t="n"/>
      <c r="G61" s="2" t="n"/>
      <c r="H61" s="257" t="n"/>
      <c r="I61" s="2">
        <f>G61*E61*C61</f>
        <v/>
      </c>
      <c r="J61" s="257" t="n"/>
      <c r="K61" s="275" t="n"/>
      <c r="L61" s="257" t="n"/>
      <c r="M61" s="129">
        <f>K61*I61</f>
        <v/>
      </c>
      <c r="N61" s="257" t="n"/>
      <c r="O61" s="2" t="n">
        <v>0.85</v>
      </c>
      <c r="P61" s="70">
        <f>M61/O61</f>
        <v/>
      </c>
      <c r="Q61" s="57">
        <f>P61*$Q$42</f>
        <v/>
      </c>
      <c r="R61" s="57">
        <f>Q61*$R$42</f>
        <v/>
      </c>
      <c r="S61" s="57">
        <f>R61*$S$42</f>
        <v/>
      </c>
      <c r="T61" s="58">
        <f>S61*$T$42</f>
        <v/>
      </c>
    </row>
    <row r="62" ht="31.5" customFormat="1" customHeight="1" s="8">
      <c r="A62" s="4" t="n">
        <v>20</v>
      </c>
      <c r="B62" s="13" t="inlineStr">
        <is>
          <t>Pull Box, EEMAC-1 300mX300mmX150mm (P/N: CS12126)</t>
        </is>
      </c>
      <c r="C62" s="2" t="n"/>
      <c r="D62" s="257" t="n"/>
      <c r="E62" s="2" t="n"/>
      <c r="F62" s="257" t="n"/>
      <c r="G62" s="2" t="n"/>
      <c r="H62" s="257" t="n"/>
      <c r="I62" s="2">
        <f>G62*E62*C62</f>
        <v/>
      </c>
      <c r="J62" s="257" t="n"/>
      <c r="K62" s="275" t="n"/>
      <c r="L62" s="257" t="n"/>
      <c r="M62" s="129">
        <f>K62*I62</f>
        <v/>
      </c>
      <c r="N62" s="257" t="n"/>
      <c r="O62" s="2" t="n">
        <v>0.85</v>
      </c>
      <c r="P62" s="70">
        <f>M62/O62</f>
        <v/>
      </c>
      <c r="Q62" s="57">
        <f>P62*$Q$42</f>
        <v/>
      </c>
      <c r="R62" s="57">
        <f>Q62*$R$42</f>
        <v/>
      </c>
      <c r="S62" s="57">
        <f>R62*$S$42</f>
        <v/>
      </c>
      <c r="T62" s="58">
        <f>S62*$T$42</f>
        <v/>
      </c>
    </row>
    <row r="63" customFormat="1" s="8">
      <c r="A63" s="4" t="n">
        <v>27</v>
      </c>
      <c r="B63" s="13" t="inlineStr">
        <is>
          <t>Aluminum Bracket (Aluma Form)</t>
        </is>
      </c>
      <c r="C63" s="2" t="n"/>
      <c r="D63" s="257" t="n"/>
      <c r="E63" s="2" t="n"/>
      <c r="F63" s="257" t="n"/>
      <c r="G63" s="2" t="n"/>
      <c r="H63" s="257" t="n"/>
      <c r="I63" s="2">
        <f>G63*E63*C63</f>
        <v/>
      </c>
      <c r="J63" s="257" t="n"/>
      <c r="K63" s="275" t="n"/>
      <c r="L63" s="257" t="n"/>
      <c r="M63" s="306">
        <f>K63*I63</f>
        <v/>
      </c>
      <c r="N63" s="268" t="n"/>
      <c r="O63" s="2" t="n">
        <v>0.85</v>
      </c>
      <c r="P63" s="70">
        <f>M63/O63</f>
        <v/>
      </c>
      <c r="Q63" s="57">
        <f>P63*$Q$42</f>
        <v/>
      </c>
      <c r="R63" s="57">
        <f>Q63*$R$42</f>
        <v/>
      </c>
      <c r="S63" s="57">
        <f>R63*$S$42</f>
        <v/>
      </c>
      <c r="T63" s="58">
        <f>S63*$T$42</f>
        <v/>
      </c>
    </row>
    <row r="64">
      <c r="A64" s="4" t="n">
        <v>28</v>
      </c>
      <c r="B64" s="6" t="n"/>
      <c r="C64" s="2" t="n"/>
      <c r="D64" s="257" t="n"/>
      <c r="E64" s="2" t="n"/>
      <c r="F64" s="257" t="n"/>
      <c r="G64" s="2" t="n"/>
      <c r="H64" s="257" t="n"/>
      <c r="I64" s="2">
        <f>G64*E64*C64</f>
        <v/>
      </c>
      <c r="J64" s="257" t="n"/>
      <c r="K64" s="275" t="n"/>
      <c r="L64" s="257" t="n"/>
      <c r="M64" s="129">
        <f>K64*I64</f>
        <v/>
      </c>
      <c r="N64" s="257" t="n"/>
      <c r="O64" s="2" t="n">
        <v>0.85</v>
      </c>
      <c r="P64" s="70">
        <f>M64/O64</f>
        <v/>
      </c>
      <c r="Q64" s="57">
        <f>P64*$Q$42</f>
        <v/>
      </c>
      <c r="R64" s="57">
        <f>Q64*$R$42</f>
        <v/>
      </c>
      <c r="S64" s="57">
        <f>R64*$S$42</f>
        <v/>
      </c>
      <c r="T64" s="58">
        <f>S64*$T$42</f>
        <v/>
      </c>
      <c r="U64" s="8" t="n"/>
      <c r="V64" s="8" t="n"/>
      <c r="W64" s="8" t="n"/>
    </row>
    <row r="65">
      <c r="A65" s="4" t="n">
        <v>29</v>
      </c>
      <c r="B65" s="1" t="n"/>
      <c r="C65" s="2" t="n"/>
      <c r="D65" s="257" t="n"/>
      <c r="E65" s="2" t="n"/>
      <c r="F65" s="257" t="n"/>
      <c r="G65" s="2" t="n"/>
      <c r="H65" s="257" t="n"/>
      <c r="I65" s="304">
        <f>G65*E65*C65</f>
        <v/>
      </c>
      <c r="J65" s="268" t="n"/>
      <c r="K65" s="275" t="n"/>
      <c r="L65" s="257" t="n"/>
      <c r="M65" s="129">
        <f>K65*I65</f>
        <v/>
      </c>
      <c r="N65" s="257" t="n"/>
      <c r="O65" s="2" t="n">
        <v>0.85</v>
      </c>
      <c r="P65" s="70">
        <f>M65/O65</f>
        <v/>
      </c>
      <c r="Q65" s="57">
        <f>P65*$Q$42</f>
        <v/>
      </c>
      <c r="R65" s="57">
        <f>Q65*$R$42</f>
        <v/>
      </c>
      <c r="S65" s="57">
        <f>R65*$S$42</f>
        <v/>
      </c>
      <c r="T65" s="58">
        <f>S65*$T$42</f>
        <v/>
      </c>
      <c r="U65" s="8" t="n"/>
      <c r="V65" s="8" t="n"/>
      <c r="W65" s="8" t="n"/>
    </row>
    <row r="66" ht="16.5" customFormat="1" customHeight="1" s="7" thickBot="1">
      <c r="A66" s="245" t="inlineStr">
        <is>
          <t>Subtotal Materials and Equipment</t>
        </is>
      </c>
      <c r="B66" s="256" t="n"/>
      <c r="C66" s="256" t="n"/>
      <c r="D66" s="256" t="n"/>
      <c r="E66" s="256" t="n"/>
      <c r="F66" s="256" t="n"/>
      <c r="G66" s="256" t="n"/>
      <c r="H66" s="256" t="n"/>
      <c r="I66" s="256" t="n"/>
      <c r="J66" s="256" t="n"/>
      <c r="K66" s="256" t="n"/>
      <c r="L66" s="256" t="n"/>
      <c r="M66" s="256" t="n"/>
      <c r="N66" s="256" t="n"/>
      <c r="O66" s="256" t="n"/>
      <c r="P66" s="71">
        <f>SUM(P43:P65)</f>
        <v/>
      </c>
      <c r="Q66" s="72">
        <f>SUM(Q43:Q65)</f>
        <v/>
      </c>
      <c r="R66" s="72">
        <f>SUM(R43:R65)</f>
        <v/>
      </c>
      <c r="S66" s="72">
        <f>SUM(S43:S65)</f>
        <v/>
      </c>
      <c r="T66" s="73">
        <f>SUM(T43:T65)</f>
        <v/>
      </c>
      <c r="U66" s="8" t="n"/>
      <c r="V66" s="8" t="n"/>
      <c r="W66" s="8" t="n"/>
    </row>
    <row r="67" ht="16.5" customHeight="1" thickTop="1">
      <c r="A67" s="100" t="n"/>
      <c r="B67" s="263" t="n"/>
      <c r="C67" s="263" t="n"/>
      <c r="D67" s="263" t="n"/>
      <c r="E67" s="263" t="n"/>
      <c r="F67" s="263" t="n"/>
      <c r="G67" s="263" t="n"/>
      <c r="H67" s="263" t="n"/>
      <c r="I67" s="263" t="n"/>
      <c r="J67" s="263" t="n"/>
      <c r="K67" s="263" t="n"/>
      <c r="L67" s="263" t="n"/>
      <c r="M67" s="263" t="n"/>
      <c r="N67" s="263" t="n"/>
      <c r="O67" s="263" t="n"/>
      <c r="P67" s="264" t="n"/>
      <c r="S67" s="8" t="n"/>
      <c r="T67" s="8" t="n"/>
      <c r="U67" s="8" t="n"/>
      <c r="V67" s="8" t="inlineStr">
        <is>
          <t>Totals</t>
        </is>
      </c>
      <c r="W67" s="8" t="n"/>
    </row>
    <row r="68">
      <c r="A68" s="280" t="n"/>
      <c r="B68" s="281" t="n"/>
      <c r="C68" s="281" t="n"/>
      <c r="D68" s="281" t="n"/>
      <c r="E68" s="281" t="n"/>
      <c r="F68" s="281" t="n"/>
      <c r="G68" s="281" t="n"/>
      <c r="H68" s="281" t="n"/>
      <c r="I68" s="281" t="n"/>
      <c r="J68" s="281" t="n"/>
      <c r="K68" s="281" t="n"/>
      <c r="L68" s="281" t="n"/>
      <c r="M68" s="281" t="n"/>
      <c r="N68" s="281" t="n"/>
      <c r="O68" s="281" t="n"/>
      <c r="P68" s="276" t="n"/>
      <c r="S68" s="8" t="n"/>
      <c r="T68" s="8" t="n"/>
      <c r="U68" s="8" t="n"/>
      <c r="V68" s="8" t="n"/>
      <c r="W68" s="8" t="n"/>
    </row>
    <row r="69">
      <c r="A69" s="205" t="inlineStr">
        <is>
          <t>Project Subtotal</t>
        </is>
      </c>
      <c r="B69" s="256" t="n"/>
      <c r="C69" s="256" t="n"/>
      <c r="D69" s="256" t="n"/>
      <c r="E69" s="256" t="n"/>
      <c r="F69" s="256" t="n"/>
      <c r="G69" s="256" t="n"/>
      <c r="H69" s="256" t="n"/>
      <c r="I69" s="256" t="n"/>
      <c r="J69" s="256" t="n"/>
      <c r="K69" s="256" t="n"/>
      <c r="L69" s="256" t="n"/>
      <c r="M69" s="256" t="n"/>
      <c r="N69" s="256" t="n"/>
      <c r="O69" s="257" t="n"/>
      <c r="P69" s="21">
        <f>P28+P39+P66</f>
        <v/>
      </c>
      <c r="Q69" s="21">
        <f>Q28+Q39+Q66</f>
        <v/>
      </c>
      <c r="R69" s="21">
        <f>R28+R39+R66</f>
        <v/>
      </c>
      <c r="S69" s="21">
        <f>S28+S39+S66</f>
        <v/>
      </c>
      <c r="T69" s="21">
        <f>T28+T39+T66</f>
        <v/>
      </c>
      <c r="U69" s="8" t="n"/>
      <c r="V69" s="14">
        <f>P69+Q69+R69+S69+T69</f>
        <v/>
      </c>
      <c r="W69" s="8" t="n"/>
    </row>
    <row r="70">
      <c r="A70" s="205" t="n"/>
      <c r="B70" s="256" t="n"/>
      <c r="C70" s="256" t="n"/>
      <c r="D70" s="256" t="n"/>
      <c r="E70" s="256" t="n"/>
      <c r="F70" s="256" t="n"/>
      <c r="G70" s="256" t="n"/>
      <c r="H70" s="256" t="n"/>
      <c r="I70" s="256" t="n"/>
      <c r="J70" s="256" t="n"/>
      <c r="K70" s="256" t="n"/>
      <c r="L70" s="256" t="n"/>
      <c r="M70" s="256" t="n"/>
      <c r="N70" s="256" t="n"/>
      <c r="O70" s="256" t="n"/>
      <c r="P70" s="257" t="n"/>
      <c r="S70" s="8" t="n"/>
      <c r="T70" s="8" t="n"/>
      <c r="U70" s="8" t="n"/>
      <c r="V70" s="14" t="n"/>
      <c r="W70" s="8" t="n"/>
    </row>
    <row r="71">
      <c r="A71" s="205" t="inlineStr">
        <is>
          <t>Cash Allowance</t>
        </is>
      </c>
      <c r="B71" s="256" t="n"/>
      <c r="C71" s="256" t="n"/>
      <c r="D71" s="256" t="n"/>
      <c r="E71" s="256" t="n"/>
      <c r="F71" s="256" t="n"/>
      <c r="G71" s="256" t="n"/>
      <c r="H71" s="256" t="n"/>
      <c r="I71" s="256" t="n"/>
      <c r="J71" s="256" t="n"/>
      <c r="K71" s="256" t="n"/>
      <c r="L71" s="256" t="n"/>
      <c r="M71" s="256" t="n"/>
      <c r="N71" s="256" t="n"/>
      <c r="O71" s="257" t="n"/>
      <c r="P71" s="21" t="n">
        <v>0</v>
      </c>
      <c r="Q71" s="21" t="n">
        <v>0</v>
      </c>
      <c r="R71" s="21" t="n">
        <v>0</v>
      </c>
      <c r="S71" s="21" t="n">
        <v>0</v>
      </c>
      <c r="T71" s="21" t="n">
        <v>0</v>
      </c>
      <c r="U71" s="8" t="n"/>
      <c r="V71" s="14">
        <f>P71+Q71+R71+S71+T71</f>
        <v/>
      </c>
      <c r="W71" s="8" t="n"/>
    </row>
    <row r="72">
      <c r="A72" s="205" t="n"/>
      <c r="B72" s="256" t="n"/>
      <c r="C72" s="256" t="n"/>
      <c r="D72" s="256" t="n"/>
      <c r="E72" s="256" t="n"/>
      <c r="F72" s="256" t="n"/>
      <c r="G72" s="256" t="n"/>
      <c r="H72" s="256" t="n"/>
      <c r="I72" s="256" t="n"/>
      <c r="J72" s="256" t="n"/>
      <c r="K72" s="256" t="n"/>
      <c r="L72" s="256" t="n"/>
      <c r="M72" s="256" t="n"/>
      <c r="N72" s="256" t="n"/>
      <c r="O72" s="256" t="n"/>
      <c r="P72" s="257" t="n"/>
      <c r="S72" s="8" t="n"/>
      <c r="T72" s="8" t="n"/>
      <c r="U72" s="8" t="n"/>
      <c r="V72" s="14" t="n"/>
      <c r="W72" s="8" t="n"/>
    </row>
    <row r="73">
      <c r="A73" s="205" t="inlineStr">
        <is>
          <t>Utility Isolation</t>
        </is>
      </c>
      <c r="B73" s="256" t="n"/>
      <c r="C73" s="256" t="n"/>
      <c r="D73" s="256" t="n"/>
      <c r="E73" s="256" t="n"/>
      <c r="F73" s="256" t="n"/>
      <c r="G73" s="256" t="n"/>
      <c r="H73" s="256" t="n"/>
      <c r="I73" s="256" t="n"/>
      <c r="J73" s="256" t="n"/>
      <c r="K73" s="256" t="n"/>
      <c r="L73" s="256" t="n"/>
      <c r="M73" s="256" t="n"/>
      <c r="N73" s="256" t="n"/>
      <c r="O73" s="257" t="n"/>
      <c r="P73" s="21" t="n">
        <v>0</v>
      </c>
      <c r="Q73" s="21" t="n">
        <v>0</v>
      </c>
      <c r="R73" s="21" t="n">
        <v>0</v>
      </c>
      <c r="S73" s="21" t="n">
        <v>0</v>
      </c>
      <c r="T73" s="21" t="n">
        <v>0</v>
      </c>
      <c r="U73" s="8" t="n"/>
      <c r="V73" s="14">
        <f>P73+Q73+R73+S73+T73</f>
        <v/>
      </c>
      <c r="W73" s="8" t="n"/>
    </row>
    <row r="74">
      <c r="A74" s="205" t="n"/>
      <c r="B74" s="256" t="n"/>
      <c r="C74" s="256" t="n"/>
      <c r="D74" s="256" t="n"/>
      <c r="E74" s="256" t="n"/>
      <c r="F74" s="256" t="n"/>
      <c r="G74" s="256" t="n"/>
      <c r="H74" s="256" t="n"/>
      <c r="I74" s="256" t="n"/>
      <c r="J74" s="256" t="n"/>
      <c r="K74" s="256" t="n"/>
      <c r="L74" s="256" t="n"/>
      <c r="M74" s="256" t="n"/>
      <c r="N74" s="256" t="n"/>
      <c r="O74" s="256" t="n"/>
      <c r="P74" s="257" t="n"/>
      <c r="S74" s="8" t="n"/>
      <c r="T74" s="8" t="n"/>
      <c r="U74" s="8" t="n"/>
      <c r="V74" s="14" t="n"/>
      <c r="W74" s="8" t="n"/>
    </row>
    <row r="75">
      <c r="A75" s="118" t="inlineStr">
        <is>
          <t>Discount</t>
        </is>
      </c>
      <c r="B75" s="256" t="n"/>
      <c r="C75" s="256" t="n"/>
      <c r="D75" s="256" t="n"/>
      <c r="E75" s="256" t="n"/>
      <c r="F75" s="256" t="n"/>
      <c r="G75" s="256" t="n"/>
      <c r="H75" s="256" t="n"/>
      <c r="I75" s="256" t="n"/>
      <c r="J75" s="256" t="n"/>
      <c r="K75" s="256" t="n"/>
      <c r="L75" s="256" t="n"/>
      <c r="M75" s="256" t="n"/>
      <c r="N75" s="256" t="n"/>
      <c r="O75" s="257" t="n"/>
      <c r="P75" s="22" t="n">
        <v>0</v>
      </c>
      <c r="Q75" s="22" t="n">
        <v>0</v>
      </c>
      <c r="R75" s="22" t="n">
        <v>0</v>
      </c>
      <c r="S75" s="22" t="n">
        <v>0</v>
      </c>
      <c r="T75" s="22" t="n">
        <v>0</v>
      </c>
      <c r="U75" s="8" t="n"/>
      <c r="V75" s="14">
        <f>P75+Q75+R75+S75+T75</f>
        <v/>
      </c>
      <c r="W75" s="8" t="n"/>
    </row>
    <row r="76" ht="16.5" customHeight="1" thickBot="1">
      <c r="A76" s="282" t="n"/>
      <c r="B76" s="256" t="n"/>
      <c r="C76" s="256" t="n"/>
      <c r="D76" s="256" t="n"/>
      <c r="E76" s="256" t="n"/>
      <c r="F76" s="256" t="n"/>
      <c r="G76" s="256" t="n"/>
      <c r="H76" s="256" t="n"/>
      <c r="I76" s="256" t="n"/>
      <c r="J76" s="256" t="n"/>
      <c r="K76" s="256" t="n"/>
      <c r="L76" s="256" t="n"/>
      <c r="M76" s="256" t="n"/>
      <c r="N76" s="256" t="n"/>
      <c r="O76" s="256" t="n"/>
      <c r="P76" s="257" t="n"/>
      <c r="S76" s="8" t="n"/>
      <c r="T76" s="8" t="n"/>
      <c r="U76" s="8" t="n"/>
      <c r="V76" s="14" t="n"/>
      <c r="W76" s="8" t="n"/>
    </row>
    <row r="77" ht="16.5" customHeight="1" thickTop="1">
      <c r="A77" s="115" t="inlineStr">
        <is>
          <t>Project Total</t>
        </is>
      </c>
      <c r="B77" s="256" t="n"/>
      <c r="C77" s="256" t="n"/>
      <c r="D77" s="256" t="n"/>
      <c r="E77" s="256" t="n"/>
      <c r="F77" s="256" t="n"/>
      <c r="G77" s="256" t="n"/>
      <c r="H77" s="256" t="n"/>
      <c r="I77" s="256" t="n"/>
      <c r="J77" s="256" t="n"/>
      <c r="K77" s="256" t="n"/>
      <c r="L77" s="256" t="n"/>
      <c r="M77" s="256" t="n"/>
      <c r="N77" s="256" t="n"/>
      <c r="O77" s="256" t="n"/>
      <c r="P77" s="74">
        <f>SUM(P69,P71,P73, P75)</f>
        <v/>
      </c>
      <c r="Q77" s="75">
        <f>SUM(Q69,Q71,Q73, Q75)</f>
        <v/>
      </c>
      <c r="R77" s="75">
        <f>SUM(R69,R71,R73, R75)</f>
        <v/>
      </c>
      <c r="S77" s="75">
        <f>SUM(S69,S71,S73, S75)</f>
        <v/>
      </c>
      <c r="T77" s="76">
        <f>SUM(T69,T71,T73, T75)</f>
        <v/>
      </c>
      <c r="U77" s="8" t="n"/>
      <c r="V77" s="14">
        <f>P77+Q77+R77+S77+T77</f>
        <v/>
      </c>
      <c r="W77" s="8" t="n"/>
    </row>
    <row r="78">
      <c r="A78" s="115" t="inlineStr">
        <is>
          <t>HST</t>
        </is>
      </c>
      <c r="B78" s="256" t="n"/>
      <c r="C78" s="256" t="n"/>
      <c r="D78" s="256" t="n"/>
      <c r="E78" s="256" t="n"/>
      <c r="F78" s="256" t="n"/>
      <c r="G78" s="256" t="n"/>
      <c r="H78" s="256" t="n"/>
      <c r="I78" s="256" t="n"/>
      <c r="J78" s="256" t="n"/>
      <c r="K78" s="256" t="n"/>
      <c r="L78" s="256" t="n"/>
      <c r="M78" s="256" t="n"/>
      <c r="N78" s="256" t="n"/>
      <c r="O78" s="256" t="n"/>
      <c r="P78" s="77">
        <f>P77*0.13</f>
        <v/>
      </c>
      <c r="Q78" s="21">
        <f>Q77*0.13</f>
        <v/>
      </c>
      <c r="R78" s="21">
        <f>R77*0.13</f>
        <v/>
      </c>
      <c r="S78" s="21">
        <f>S77*0.13</f>
        <v/>
      </c>
      <c r="T78" s="78">
        <f>T77*0.13</f>
        <v/>
      </c>
      <c r="V78" s="14">
        <f>P78+Q78+R78+S78+T78</f>
        <v/>
      </c>
    </row>
    <row r="79" ht="16.5" customHeight="1" thickBot="1">
      <c r="A79" s="115" t="inlineStr">
        <is>
          <t>TOTAL</t>
        </is>
      </c>
      <c r="B79" s="256" t="n"/>
      <c r="C79" s="256" t="n"/>
      <c r="D79" s="256" t="n"/>
      <c r="E79" s="256" t="n"/>
      <c r="F79" s="256" t="n"/>
      <c r="G79" s="256" t="n"/>
      <c r="H79" s="256" t="n"/>
      <c r="I79" s="256" t="n"/>
      <c r="J79" s="256" t="n"/>
      <c r="K79" s="256" t="n"/>
      <c r="L79" s="256" t="n"/>
      <c r="M79" s="256" t="n"/>
      <c r="N79" s="256" t="n"/>
      <c r="O79" s="256" t="n"/>
      <c r="P79" s="79">
        <f>P77+P78</f>
        <v/>
      </c>
      <c r="Q79" s="80">
        <f>Q77+Q78</f>
        <v/>
      </c>
      <c r="R79" s="80">
        <f>R77+R78</f>
        <v/>
      </c>
      <c r="S79" s="80">
        <f>S77+S78</f>
        <v/>
      </c>
      <c r="T79" s="81">
        <f>T77+T78</f>
        <v/>
      </c>
      <c r="V79" s="14">
        <f>P79+Q79+R79+S79+T79</f>
        <v/>
      </c>
    </row>
    <row r="80" ht="16.5" customHeight="1" thickTop="1">
      <c r="A80" s="12" t="inlineStr">
        <is>
          <t>HST Check for final price should be the same as above</t>
        </is>
      </c>
      <c r="P80" s="15">
        <f>P77*1.13</f>
        <v/>
      </c>
      <c r="Q80" s="15">
        <f>Q77*1.13</f>
        <v/>
      </c>
      <c r="R80" s="15">
        <f>R77*1.13</f>
        <v/>
      </c>
      <c r="S80" s="15">
        <f>S77*1.13</f>
        <v/>
      </c>
      <c r="T80" s="15">
        <f>T77*1.13</f>
        <v/>
      </c>
    </row>
    <row r="84">
      <c r="F84" s="7" t="n"/>
      <c r="G84" s="82" t="n"/>
    </row>
    <row r="85" ht="32.25" customHeight="1">
      <c r="C85" s="197" t="n">
        <v>2026</v>
      </c>
    </row>
    <row r="86" ht="16.5" customHeight="1" thickBot="1">
      <c r="F86" s="7" t="n"/>
      <c r="G86" s="82" t="n"/>
    </row>
    <row r="87" ht="32.25" customHeight="1" thickBot="1">
      <c r="B87" s="12" t="inlineStr">
        <is>
          <t>APS (Cost)</t>
        </is>
      </c>
      <c r="C87" s="200" t="inlineStr">
        <is>
          <t>Regular</t>
        </is>
      </c>
      <c r="D87" s="200" t="inlineStr">
        <is>
          <t>Regular W/truck</t>
        </is>
      </c>
      <c r="E87" s="254" t="n"/>
      <c r="F87" s="98" t="inlineStr">
        <is>
          <t>Double Time</t>
        </is>
      </c>
      <c r="G87" s="98" t="inlineStr">
        <is>
          <t>Double Time W/truck</t>
        </is>
      </c>
      <c r="H87" s="99" t="inlineStr">
        <is>
          <t>Shift 20%</t>
        </is>
      </c>
      <c r="I87" s="99" t="inlineStr">
        <is>
          <t>Shift 20% W/truck</t>
        </is>
      </c>
    </row>
    <row r="88">
      <c r="B88" s="82" t="inlineStr">
        <is>
          <t xml:space="preserve">FOREMAN                                          </t>
        </is>
      </c>
      <c r="C88" s="283" t="n">
        <v>102</v>
      </c>
      <c r="D88" s="283">
        <f>C88+18.5</f>
        <v/>
      </c>
      <c r="E88" s="276" t="n"/>
      <c r="F88" s="284" t="n">
        <v>203.99</v>
      </c>
      <c r="G88" s="284">
        <f>F88+18.5</f>
        <v/>
      </c>
      <c r="H88" s="285" t="n">
        <v>122.38</v>
      </c>
      <c r="I88" s="286">
        <f>H88+18.5</f>
        <v/>
      </c>
      <c r="J88" s="261" t="n"/>
      <c r="K88" s="261" t="n"/>
    </row>
    <row r="89">
      <c r="B89" s="82" t="inlineStr">
        <is>
          <t xml:space="preserve">JOURNEYMAN                                 </t>
        </is>
      </c>
      <c r="C89" s="288" t="n">
        <v>90.93000000000001</v>
      </c>
      <c r="D89" s="288">
        <f>C89+18.5</f>
        <v/>
      </c>
      <c r="E89" s="257" t="n"/>
      <c r="F89" s="289" t="n">
        <v>181.86</v>
      </c>
      <c r="G89" s="284">
        <f>F89+18.5</f>
        <v/>
      </c>
      <c r="H89" s="290" t="n">
        <v>109.13</v>
      </c>
      <c r="I89" s="286">
        <f>H89+18.5</f>
        <v/>
      </c>
      <c r="J89" s="261" t="n"/>
      <c r="K89" s="261" t="n"/>
    </row>
    <row r="90">
      <c r="B90" s="82" t="inlineStr">
        <is>
          <t xml:space="preserve">APPRENTICE #5                                </t>
        </is>
      </c>
      <c r="C90" s="288" t="n">
        <v>74.01000000000001</v>
      </c>
      <c r="D90" s="288">
        <f>C90+18.5</f>
        <v/>
      </c>
      <c r="E90" s="257" t="n"/>
      <c r="F90" s="289" t="n">
        <v>147.98</v>
      </c>
      <c r="G90" s="284">
        <f>F90+18.5</f>
        <v/>
      </c>
      <c r="H90" s="290" t="n">
        <v>88.78</v>
      </c>
      <c r="I90" s="286">
        <f>H90+18.5</f>
        <v/>
      </c>
      <c r="J90" s="261" t="n"/>
      <c r="K90" s="261" t="n"/>
    </row>
    <row r="91">
      <c r="B91" s="82" t="inlineStr">
        <is>
          <t xml:space="preserve">APPRENTICE #4                                </t>
        </is>
      </c>
      <c r="C91" s="288" t="n">
        <v>65.65000000000001</v>
      </c>
      <c r="D91" s="288">
        <f>C91+18.5</f>
        <v/>
      </c>
      <c r="E91" s="257" t="n"/>
      <c r="F91" s="289" t="n">
        <v>131.3</v>
      </c>
      <c r="G91" s="284">
        <f>F91+18.5</f>
        <v/>
      </c>
      <c r="H91" s="290" t="n">
        <v>78.79000000000001</v>
      </c>
      <c r="I91" s="286">
        <f>H91+18.5</f>
        <v/>
      </c>
      <c r="J91" s="261" t="n"/>
      <c r="K91" s="261" t="n"/>
    </row>
    <row r="92">
      <c r="B92" s="82" t="inlineStr">
        <is>
          <t xml:space="preserve">APPRENTICE #3                              </t>
        </is>
      </c>
      <c r="C92" s="288" t="n">
        <v>57.28</v>
      </c>
      <c r="D92" s="288">
        <f>C92+18.5</f>
        <v/>
      </c>
      <c r="E92" s="257" t="n"/>
      <c r="F92" s="289" t="n">
        <v>114.57</v>
      </c>
      <c r="G92" s="284">
        <f>F92+18.5</f>
        <v/>
      </c>
      <c r="H92" s="290" t="n">
        <v>68.73999999999999</v>
      </c>
      <c r="I92" s="286">
        <f>H92+18.5</f>
        <v/>
      </c>
      <c r="J92" s="261" t="n"/>
      <c r="K92" s="261" t="n"/>
    </row>
    <row r="93">
      <c r="B93" s="82" t="inlineStr">
        <is>
          <t xml:space="preserve">APPRENTICE #2                                 </t>
        </is>
      </c>
      <c r="C93" s="288" t="n">
        <v>48.95</v>
      </c>
      <c r="D93" s="288">
        <f>C93+18.5</f>
        <v/>
      </c>
      <c r="E93" s="257" t="n"/>
      <c r="F93" s="289" t="n">
        <v>97.84999999999999</v>
      </c>
      <c r="G93" s="284">
        <f>F93+18.5</f>
        <v/>
      </c>
      <c r="H93" s="290" t="n">
        <v>58.71</v>
      </c>
      <c r="I93" s="286">
        <f>H93+18.5</f>
        <v/>
      </c>
      <c r="J93" s="261" t="n"/>
      <c r="K93" s="261" t="n"/>
    </row>
    <row r="94" ht="32.25" customHeight="1">
      <c r="B94" s="82" t="inlineStr">
        <is>
          <t xml:space="preserve">APPRENTICE #1                                 </t>
        </is>
      </c>
      <c r="C94" s="288" t="n">
        <v>40.57</v>
      </c>
      <c r="D94" s="288">
        <f>C94+18.5</f>
        <v/>
      </c>
      <c r="E94" s="257" t="n"/>
      <c r="F94" s="289" t="n">
        <v>81.15000000000001</v>
      </c>
      <c r="G94" s="284">
        <f>F94+18.5</f>
        <v/>
      </c>
      <c r="H94" s="290" t="n">
        <v>48.69</v>
      </c>
      <c r="I94" s="286">
        <f>H94+18.5</f>
        <v/>
      </c>
      <c r="J94" s="261" t="n"/>
      <c r="K94" s="261" t="n"/>
    </row>
    <row r="95">
      <c r="B95" s="82" t="inlineStr">
        <is>
          <t>pre apprentice</t>
        </is>
      </c>
      <c r="C95" s="288" t="n">
        <v>32.43</v>
      </c>
      <c r="D95" s="288">
        <f>C95+18.5</f>
        <v/>
      </c>
      <c r="E95" s="257" t="n"/>
      <c r="F95" s="289" t="n">
        <v>64.86</v>
      </c>
      <c r="G95" s="284">
        <f>F95+18.5</f>
        <v/>
      </c>
      <c r="H95" s="290" t="n">
        <v>38.92</v>
      </c>
      <c r="I95" s="286">
        <f>H95+18.5</f>
        <v/>
      </c>
      <c r="J95" s="261" t="n"/>
      <c r="K95" s="261" t="n"/>
    </row>
    <row r="96" ht="16.5" customHeight="1" thickBot="1">
      <c r="D96" s="291" t="n"/>
      <c r="E96" s="268" t="n"/>
    </row>
    <row r="97" ht="32.25" customHeight="1" thickBot="1">
      <c r="B97" s="12" t="inlineStr">
        <is>
          <t>APS (Sell)</t>
        </is>
      </c>
      <c r="C97" s="200" t="inlineStr">
        <is>
          <t>Regular</t>
        </is>
      </c>
      <c r="D97" s="200" t="inlineStr">
        <is>
          <t>Regular W/truck</t>
        </is>
      </c>
      <c r="E97" s="254" t="n"/>
      <c r="F97" s="98" t="inlineStr">
        <is>
          <t>Double Time</t>
        </is>
      </c>
      <c r="G97" s="98" t="inlineStr">
        <is>
          <t>Double Time W/truck</t>
        </is>
      </c>
      <c r="H97" s="99" t="inlineStr">
        <is>
          <t>Shift 20%</t>
        </is>
      </c>
      <c r="I97" s="99" t="inlineStr">
        <is>
          <t>Shift 20% W/truck</t>
        </is>
      </c>
      <c r="K97" s="100" t="inlineStr">
        <is>
          <t>Margin</t>
        </is>
      </c>
    </row>
    <row r="98">
      <c r="B98" s="82" t="inlineStr">
        <is>
          <t xml:space="preserve">FOREMAN                                          </t>
        </is>
      </c>
      <c r="C98" s="292">
        <f>C88/$K$98</f>
        <v/>
      </c>
      <c r="D98" s="293">
        <f>D88/$K$98</f>
        <v/>
      </c>
      <c r="E98" s="272" t="n"/>
      <c r="F98" s="292">
        <f>F88/$K$98</f>
        <v/>
      </c>
      <c r="G98" s="292">
        <f>G88/$K$98</f>
        <v/>
      </c>
      <c r="H98" s="292">
        <f>H88/$K$98</f>
        <v/>
      </c>
      <c r="I98" s="292">
        <f>I88/$K$98</f>
        <v/>
      </c>
      <c r="K98" s="2" t="n">
        <v>0.8</v>
      </c>
    </row>
    <row r="99">
      <c r="B99" s="82" t="inlineStr">
        <is>
          <t xml:space="preserve">JOURNEYMAN                                 </t>
        </is>
      </c>
      <c r="C99" s="292">
        <f>C89/$K$98</f>
        <v/>
      </c>
      <c r="D99" s="288">
        <f>D89/$K$98</f>
        <v/>
      </c>
      <c r="E99" s="257" t="n"/>
      <c r="F99" s="292">
        <f>F89/$K$98</f>
        <v/>
      </c>
      <c r="G99" s="292">
        <f>G89/$K$98</f>
        <v/>
      </c>
      <c r="H99" s="292">
        <f>H89/$K$98</f>
        <v/>
      </c>
      <c r="I99" s="292">
        <f>I89/$K$98</f>
        <v/>
      </c>
    </row>
    <row r="100">
      <c r="B100" s="82" t="inlineStr">
        <is>
          <t xml:space="preserve">APPRENTICE #5                                </t>
        </is>
      </c>
      <c r="C100" s="292">
        <f>C90/$K$98</f>
        <v/>
      </c>
      <c r="D100" s="288">
        <f>D90/$K$98</f>
        <v/>
      </c>
      <c r="E100" s="257" t="n"/>
      <c r="F100" s="292">
        <f>F90/$K$98</f>
        <v/>
      </c>
      <c r="G100" s="292">
        <f>G90/$K$98</f>
        <v/>
      </c>
      <c r="H100" s="292">
        <f>H90/$K$98</f>
        <v/>
      </c>
      <c r="I100" s="292">
        <f>I90/$K$98</f>
        <v/>
      </c>
    </row>
    <row r="101">
      <c r="B101" s="82" t="inlineStr">
        <is>
          <t xml:space="preserve">APPRENTICE #4                                </t>
        </is>
      </c>
      <c r="C101" s="292">
        <f>C91/$K$98</f>
        <v/>
      </c>
      <c r="D101" s="288">
        <f>D91/$K$98</f>
        <v/>
      </c>
      <c r="E101" s="257" t="n"/>
      <c r="F101" s="292">
        <f>F91/$K$98</f>
        <v/>
      </c>
      <c r="G101" s="292">
        <f>G91/$K$98</f>
        <v/>
      </c>
      <c r="H101" s="292">
        <f>H91/$K$98</f>
        <v/>
      </c>
      <c r="I101" s="292">
        <f>I91/$K$98</f>
        <v/>
      </c>
    </row>
    <row r="102">
      <c r="B102" s="82" t="inlineStr">
        <is>
          <t xml:space="preserve">APPRENTICE #3                              </t>
        </is>
      </c>
      <c r="C102" s="292">
        <f>C92/$K$98</f>
        <v/>
      </c>
      <c r="D102" s="288">
        <f>D92/$K$98</f>
        <v/>
      </c>
      <c r="E102" s="257" t="n"/>
      <c r="F102" s="292">
        <f>F92/$K$98</f>
        <v/>
      </c>
      <c r="G102" s="292">
        <f>G92/$K$98</f>
        <v/>
      </c>
      <c r="H102" s="292">
        <f>H92/$K$98</f>
        <v/>
      </c>
      <c r="I102" s="292">
        <f>I92/$K$98</f>
        <v/>
      </c>
    </row>
    <row r="103">
      <c r="B103" s="82" t="inlineStr">
        <is>
          <t xml:space="preserve">APPRENTICE #2                                 </t>
        </is>
      </c>
      <c r="C103" s="292">
        <f>C93/$K$98</f>
        <v/>
      </c>
      <c r="D103" s="288">
        <f>D93/$K$98</f>
        <v/>
      </c>
      <c r="E103" s="257" t="n"/>
      <c r="F103" s="292">
        <f>F93/$K$98</f>
        <v/>
      </c>
      <c r="G103" s="292">
        <f>G93/$K$98</f>
        <v/>
      </c>
      <c r="H103" s="292">
        <f>H93/$K$98</f>
        <v/>
      </c>
      <c r="I103" s="292">
        <f>I93/$K$98</f>
        <v/>
      </c>
    </row>
    <row r="104">
      <c r="B104" s="82" t="inlineStr">
        <is>
          <t xml:space="preserve">APPRENTICE #1                                 </t>
        </is>
      </c>
      <c r="C104" s="292">
        <f>C94/$K$98</f>
        <v/>
      </c>
      <c r="D104" s="288">
        <f>D94/$K$98</f>
        <v/>
      </c>
      <c r="E104" s="257" t="n"/>
      <c r="F104" s="292">
        <f>F94/$K$98</f>
        <v/>
      </c>
      <c r="G104" s="292">
        <f>G94/$K$98</f>
        <v/>
      </c>
      <c r="H104" s="292">
        <f>H94/$K$98</f>
        <v/>
      </c>
      <c r="I104" s="292">
        <f>I94/$K$98</f>
        <v/>
      </c>
    </row>
    <row r="105">
      <c r="B105" s="12" t="inlineStr">
        <is>
          <t>pre apprentice</t>
        </is>
      </c>
      <c r="C105" s="292">
        <f>C95/$K$98</f>
        <v/>
      </c>
      <c r="D105" s="288">
        <f>D95/$K$98</f>
        <v/>
      </c>
      <c r="E105" s="257" t="n"/>
      <c r="F105" s="292">
        <f>F95/$K$98</f>
        <v/>
      </c>
      <c r="G105" s="292">
        <f>G95/$K$98</f>
        <v/>
      </c>
      <c r="H105" s="292">
        <f>H95/$K$98</f>
        <v/>
      </c>
      <c r="I105" s="292">
        <f>I95/$K$98</f>
        <v/>
      </c>
    </row>
    <row r="106">
      <c r="D106" s="294" t="n"/>
    </row>
    <row r="107">
      <c r="B107" s="12" t="inlineStr">
        <is>
          <t>Bonding</t>
        </is>
      </c>
      <c r="C107" s="12" t="inlineStr">
        <is>
          <t>rate/Moths</t>
        </is>
      </c>
    </row>
    <row r="108">
      <c r="B108" s="12" t="inlineStr">
        <is>
          <t>First $2.5M</t>
        </is>
      </c>
      <c r="C108" s="12" t="n">
        <v>8.699999999999999</v>
      </c>
      <c r="G108" s="294" t="n">
        <v>2500000</v>
      </c>
      <c r="I108" s="261">
        <f>G108/1000*C108</f>
        <v/>
      </c>
    </row>
    <row r="109">
      <c r="B109" s="12" t="inlineStr">
        <is>
          <t>Second $2.5M</t>
        </is>
      </c>
      <c r="C109" s="12" t="n">
        <v>7.9</v>
      </c>
      <c r="G109" s="294" t="n">
        <v>2500000</v>
      </c>
      <c r="I109" s="261">
        <f>G109/1000*C109</f>
        <v/>
      </c>
    </row>
    <row r="110">
      <c r="B110" s="12" t="inlineStr">
        <is>
          <t>Third $2.5M</t>
        </is>
      </c>
      <c r="C110" s="12" t="n">
        <v>6.95</v>
      </c>
      <c r="G110" s="294" t="n">
        <v>2500000</v>
      </c>
      <c r="I110" s="261">
        <f>G110/1000*C110</f>
        <v/>
      </c>
    </row>
    <row r="111">
      <c r="B111" s="12" t="inlineStr">
        <is>
          <t>Subtotal</t>
        </is>
      </c>
      <c r="I111" s="261">
        <f>I108+I109+I110</f>
        <v/>
      </c>
    </row>
    <row r="112">
      <c r="B112" s="12" t="inlineStr">
        <is>
          <t>after 24 months</t>
        </is>
      </c>
      <c r="C112" s="12" t="n">
        <v>12</v>
      </c>
      <c r="I112" s="261">
        <f>I111*C112*0.01</f>
        <v/>
      </c>
    </row>
    <row r="113">
      <c r="B113" s="12" t="inlineStr">
        <is>
          <t>Grand Total for Bond</t>
        </is>
      </c>
      <c r="I113" s="261">
        <f>I111+I112</f>
        <v/>
      </c>
    </row>
    <row r="114">
      <c r="B114" s="12" t="inlineStr">
        <is>
          <t>Sell Price</t>
        </is>
      </c>
      <c r="I114" s="261">
        <f>I113/0.9</f>
        <v/>
      </c>
    </row>
  </sheetData>
  <mergeCells count="275">
    <mergeCell ref="A69:O69"/>
    <mergeCell ref="A67:P68"/>
    <mergeCell ref="K49:L49"/>
    <mergeCell ref="M43:N43"/>
    <mergeCell ref="C62:D62"/>
    <mergeCell ref="D100:E100"/>
    <mergeCell ref="A40:T40"/>
    <mergeCell ref="E62:F62"/>
    <mergeCell ref="M59:N59"/>
    <mergeCell ref="A66:O66"/>
    <mergeCell ref="K33:L33"/>
    <mergeCell ref="A75:O75"/>
    <mergeCell ref="C64:D64"/>
    <mergeCell ref="E64:F64"/>
    <mergeCell ref="L5:L6"/>
    <mergeCell ref="N5:N6"/>
    <mergeCell ref="E51:F51"/>
    <mergeCell ref="M60:N60"/>
    <mergeCell ref="K35:L35"/>
    <mergeCell ref="M35:N35"/>
    <mergeCell ref="C54:D54"/>
    <mergeCell ref="C63:D63"/>
    <mergeCell ref="M54:N54"/>
    <mergeCell ref="E63:F63"/>
    <mergeCell ref="K50:L50"/>
    <mergeCell ref="G57:H57"/>
    <mergeCell ref="A7:T7"/>
    <mergeCell ref="C50:D50"/>
    <mergeCell ref="M41:N42"/>
    <mergeCell ref="I27:K28"/>
    <mergeCell ref="I4:N4"/>
    <mergeCell ref="C56:D56"/>
    <mergeCell ref="I58:J58"/>
    <mergeCell ref="E65:F65"/>
    <mergeCell ref="K58:L58"/>
    <mergeCell ref="E34:F34"/>
    <mergeCell ref="G5:G6"/>
    <mergeCell ref="K52:L52"/>
    <mergeCell ref="C43:D43"/>
    <mergeCell ref="G34:H34"/>
    <mergeCell ref="P4:P6"/>
    <mergeCell ref="A18:T18"/>
    <mergeCell ref="G108:H108"/>
    <mergeCell ref="E49:F49"/>
    <mergeCell ref="G58:H58"/>
    <mergeCell ref="C36:D36"/>
    <mergeCell ref="M36:N36"/>
    <mergeCell ref="E36:F36"/>
    <mergeCell ref="M45:N45"/>
    <mergeCell ref="M33:N33"/>
    <mergeCell ref="I52:J52"/>
    <mergeCell ref="O27:O28"/>
    <mergeCell ref="G110:H110"/>
    <mergeCell ref="I44:J44"/>
    <mergeCell ref="K53:L53"/>
    <mergeCell ref="A73:O73"/>
    <mergeCell ref="M47:N47"/>
    <mergeCell ref="M62:N62"/>
    <mergeCell ref="D98:E98"/>
    <mergeCell ref="A74:P74"/>
    <mergeCell ref="K37:L37"/>
    <mergeCell ref="E53:F53"/>
    <mergeCell ref="M50:N50"/>
    <mergeCell ref="G44:H44"/>
    <mergeCell ref="D88:E88"/>
    <mergeCell ref="G59:H59"/>
    <mergeCell ref="A76:P76"/>
    <mergeCell ref="E55:F55"/>
    <mergeCell ref="I46:J46"/>
    <mergeCell ref="D90:E90"/>
    <mergeCell ref="M44:N44"/>
    <mergeCell ref="D99:E99"/>
    <mergeCell ref="C45:D45"/>
    <mergeCell ref="G61:H61"/>
    <mergeCell ref="F5:F6"/>
    <mergeCell ref="I61:J61"/>
    <mergeCell ref="E48:F48"/>
    <mergeCell ref="K55:L55"/>
    <mergeCell ref="G48:H48"/>
    <mergeCell ref="O30:O31"/>
    <mergeCell ref="E30:F31"/>
    <mergeCell ref="K64:L64"/>
    <mergeCell ref="G30:H31"/>
    <mergeCell ref="M64:N64"/>
    <mergeCell ref="I57:J57"/>
    <mergeCell ref="K51:L51"/>
    <mergeCell ref="E38:F38"/>
    <mergeCell ref="C47:D47"/>
    <mergeCell ref="M51:N51"/>
    <mergeCell ref="I54:J54"/>
    <mergeCell ref="G38:H38"/>
    <mergeCell ref="I32:J32"/>
    <mergeCell ref="A4:A6"/>
    <mergeCell ref="D101:E101"/>
    <mergeCell ref="K32:L32"/>
    <mergeCell ref="K63:L63"/>
    <mergeCell ref="G62:H62"/>
    <mergeCell ref="I56:J56"/>
    <mergeCell ref="M27:M28"/>
    <mergeCell ref="K56:L56"/>
    <mergeCell ref="G49:H49"/>
    <mergeCell ref="M65:N65"/>
    <mergeCell ref="I43:J43"/>
    <mergeCell ref="K43:L43"/>
    <mergeCell ref="C60:D60"/>
    <mergeCell ref="G33:H33"/>
    <mergeCell ref="D103:E103"/>
    <mergeCell ref="I33:J33"/>
    <mergeCell ref="G65:H65"/>
    <mergeCell ref="C85:I85"/>
    <mergeCell ref="O4:O6"/>
    <mergeCell ref="B30:B31"/>
    <mergeCell ref="G35:H35"/>
    <mergeCell ref="I35:J35"/>
    <mergeCell ref="G27:G28"/>
    <mergeCell ref="A17:T17"/>
    <mergeCell ref="P30:P31"/>
    <mergeCell ref="C57:D57"/>
    <mergeCell ref="I41:J42"/>
    <mergeCell ref="D89:E89"/>
    <mergeCell ref="I59:J59"/>
    <mergeCell ref="A79:O79"/>
    <mergeCell ref="M63:N63"/>
    <mergeCell ref="K41:L42"/>
    <mergeCell ref="G60:H60"/>
    <mergeCell ref="C53:D53"/>
    <mergeCell ref="M53:N53"/>
    <mergeCell ref="E58:F58"/>
    <mergeCell ref="I60:J60"/>
    <mergeCell ref="C4:H4"/>
    <mergeCell ref="K5:K6"/>
    <mergeCell ref="C5:C6"/>
    <mergeCell ref="M5:M6"/>
    <mergeCell ref="E50:F50"/>
    <mergeCell ref="E5:E6"/>
    <mergeCell ref="C41:D42"/>
    <mergeCell ref="P41:P42"/>
    <mergeCell ref="C34:D34"/>
    <mergeCell ref="M34:N34"/>
    <mergeCell ref="M55:N55"/>
    <mergeCell ref="C58:D58"/>
    <mergeCell ref="M52:N52"/>
    <mergeCell ref="I45:J45"/>
    <mergeCell ref="A41:A42"/>
    <mergeCell ref="E52:F52"/>
    <mergeCell ref="M49:N49"/>
    <mergeCell ref="K45:L45"/>
    <mergeCell ref="K54:L54"/>
    <mergeCell ref="D96:E96"/>
    <mergeCell ref="M48:N48"/>
    <mergeCell ref="M30:N31"/>
    <mergeCell ref="E44:F44"/>
    <mergeCell ref="D105:E105"/>
    <mergeCell ref="K60:L60"/>
    <mergeCell ref="I47:J47"/>
    <mergeCell ref="A16:E16"/>
    <mergeCell ref="Q4:Q5"/>
    <mergeCell ref="K47:L47"/>
    <mergeCell ref="C65:D65"/>
    <mergeCell ref="K44:L44"/>
    <mergeCell ref="G37:H37"/>
    <mergeCell ref="C44:D44"/>
    <mergeCell ref="I37:J37"/>
    <mergeCell ref="K46:L46"/>
    <mergeCell ref="C59:D59"/>
    <mergeCell ref="D91:E91"/>
    <mergeCell ref="E59:F59"/>
    <mergeCell ref="C46:D46"/>
    <mergeCell ref="E46:F46"/>
    <mergeCell ref="I62:J62"/>
    <mergeCell ref="C51:D51"/>
    <mergeCell ref="M37:N37"/>
    <mergeCell ref="D106:E106"/>
    <mergeCell ref="C61:D61"/>
    <mergeCell ref="D93:E93"/>
    <mergeCell ref="E61:F61"/>
    <mergeCell ref="D102:E102"/>
    <mergeCell ref="C48:D48"/>
    <mergeCell ref="C30:D31"/>
    <mergeCell ref="G64:H64"/>
    <mergeCell ref="I64:J64"/>
    <mergeCell ref="E57:F57"/>
    <mergeCell ref="A39:O39"/>
    <mergeCell ref="A1:T2"/>
    <mergeCell ref="G51:H51"/>
    <mergeCell ref="D92:E92"/>
    <mergeCell ref="H5:H6"/>
    <mergeCell ref="I51:J51"/>
    <mergeCell ref="J5:J6"/>
    <mergeCell ref="E54:F54"/>
    <mergeCell ref="C38:D38"/>
    <mergeCell ref="C32:D32"/>
    <mergeCell ref="G54:H54"/>
    <mergeCell ref="E32:F32"/>
    <mergeCell ref="K65:L65"/>
    <mergeCell ref="M38:N38"/>
    <mergeCell ref="G63:H63"/>
    <mergeCell ref="G32:H32"/>
    <mergeCell ref="I63:J63"/>
    <mergeCell ref="A28:E28"/>
    <mergeCell ref="K57:L57"/>
    <mergeCell ref="G50:H50"/>
    <mergeCell ref="I50:J50"/>
    <mergeCell ref="D94:E94"/>
    <mergeCell ref="E56:F56"/>
    <mergeCell ref="A78:O78"/>
    <mergeCell ref="M58:N58"/>
    <mergeCell ref="G56:H56"/>
    <mergeCell ref="I65:J65"/>
    <mergeCell ref="C49:D49"/>
    <mergeCell ref="E43:F43"/>
    <mergeCell ref="G43:H43"/>
    <mergeCell ref="I34:J34"/>
    <mergeCell ref="K34:L34"/>
    <mergeCell ref="I16:K16"/>
    <mergeCell ref="G52:H52"/>
    <mergeCell ref="R4:R5"/>
    <mergeCell ref="T4:T5"/>
    <mergeCell ref="C33:D33"/>
    <mergeCell ref="E33:F33"/>
    <mergeCell ref="I49:J49"/>
    <mergeCell ref="G36:H36"/>
    <mergeCell ref="I36:J36"/>
    <mergeCell ref="A72:P72"/>
    <mergeCell ref="K36:L36"/>
    <mergeCell ref="C35:D35"/>
    <mergeCell ref="E35:F35"/>
    <mergeCell ref="D95:E95"/>
    <mergeCell ref="M56:N56"/>
    <mergeCell ref="B4:B6"/>
    <mergeCell ref="D104:E104"/>
    <mergeCell ref="A71:O71"/>
    <mergeCell ref="E41:F42"/>
    <mergeCell ref="C55:D55"/>
    <mergeCell ref="G41:H42"/>
    <mergeCell ref="O41:O42"/>
    <mergeCell ref="G53:H53"/>
    <mergeCell ref="I53:J53"/>
    <mergeCell ref="E60:F60"/>
    <mergeCell ref="D97:E97"/>
    <mergeCell ref="I5:I6"/>
    <mergeCell ref="A27:E27"/>
    <mergeCell ref="K59:L59"/>
    <mergeCell ref="D87:E87"/>
    <mergeCell ref="I55:J55"/>
    <mergeCell ref="A3:T3"/>
    <mergeCell ref="A70:P70"/>
    <mergeCell ref="M46:N46"/>
    <mergeCell ref="E45:F45"/>
    <mergeCell ref="S4:S5"/>
    <mergeCell ref="G45:H45"/>
    <mergeCell ref="C52:D52"/>
    <mergeCell ref="K61:L61"/>
    <mergeCell ref="M61:N61"/>
    <mergeCell ref="I48:J48"/>
    <mergeCell ref="I30:J31"/>
    <mergeCell ref="K48:L48"/>
    <mergeCell ref="K30:L31"/>
    <mergeCell ref="D5:D6"/>
    <mergeCell ref="A77:O77"/>
    <mergeCell ref="G55:H55"/>
    <mergeCell ref="M57:N57"/>
    <mergeCell ref="G109:H109"/>
    <mergeCell ref="I38:J38"/>
    <mergeCell ref="G47:H47"/>
    <mergeCell ref="K38:L38"/>
    <mergeCell ref="M32:N32"/>
    <mergeCell ref="C37:D37"/>
    <mergeCell ref="A29:T29"/>
    <mergeCell ref="E37:F37"/>
    <mergeCell ref="B41:B42"/>
    <mergeCell ref="G46:H46"/>
    <mergeCell ref="K62:L62"/>
    <mergeCell ref="E47:F47"/>
    <mergeCell ref="A30:A31"/>
  </mergeCells>
  <dataValidations count="2">
    <dataValidation sqref="Q6:T6 Q31:T31 Q42:T42" showDropDown="0" showInputMessage="1" showErrorMessage="1" allowBlank="1" type="list">
      <formula1>"1,1.01,1.02,1.03,1.04,1.05,1.06,1.07,1.08,1.09,1.1"</formula1>
    </dataValidation>
    <dataValidation sqref="K98 O8:O15 O19:O26 O32:O38 O43:O65" showDropDown="0" showInputMessage="1" showErrorMessage="1" allowBlank="1" type="list">
      <formula1>"1,.95,.94,.93,.92,.91,.9,.89,.88,.87,.86,.85,.84,.83,.82,.81,.8,.79,.78,.77,.76,.75,.74,.73,.72,.71,.7,.66"</formula1>
    </dataValidation>
  </dataValidations>
  <printOptions horizontalCentered="1" verticalCentered="1"/>
  <pageMargins left="0.45" right="0.45" top="0.75" bottom="0.75" header="0.3" footer="0.3"/>
  <pageSetup orientation="portrait" paperSize="17" scale="72" fitToHeight="0" horizontalDpi="300" verticalDpi="300"/>
  <colBreaks count="1" manualBreakCount="1">
    <brk id="16" min="0" max="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GDI Ainsworth</dc:creator>
  <dcterms:created xsi:type="dcterms:W3CDTF">2010-08-27T19:16:32Z</dcterms:created>
  <dcterms:modified xsi:type="dcterms:W3CDTF">2026-08-24T22:55:48Z</dcterms:modified>
  <cp:lastModifiedBy>GDI Ainsworth</cp:lastModifiedBy>
</cp:coreProperties>
</file>