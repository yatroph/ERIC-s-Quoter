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gdi365-my.sharepoint.com/personal/eric_riaboy_ainsworth_com/Documents/Desktop/Ainsworth/Marketing/Proposals and Quotes/"/>
    </mc:Choice>
  </mc:AlternateContent>
  <xr:revisionPtr revIDLastSave="914" documentId="8_{2B51FA9E-3BDA-4F94-9D94-582191E60645}" xr6:coauthVersionLast="47" xr6:coauthVersionMax="47" xr10:uidLastSave="{709B544F-F960-4A3E-9FF0-EA8F4CB2E78C}"/>
  <bookViews>
    <workbookView xWindow="-120" yWindow="-120" windowWidth="29040" windowHeight="15720" xr2:uid="{00000000-000D-0000-FFFF-FFFF00000000}"/>
  </bookViews>
  <sheets>
    <sheet name="Pricing" sheetId="1" r:id="rId1"/>
    <sheet name="Multi Year Contract Pricing" sheetId="3" r:id="rId2"/>
  </sheets>
  <definedNames>
    <definedName name="_xlnm.Print_Area" localSheetId="1">'Multi Year Contract Pricing'!$A$1:$P$66</definedName>
    <definedName name="_xlnm.Print_Area" localSheetId="0">Pricing!$A$1:$P$51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99" i="3" l="1"/>
  <c r="I100" i="3"/>
  <c r="I101" i="3"/>
  <c r="I102" i="3"/>
  <c r="I103" i="3"/>
  <c r="I104" i="3"/>
  <c r="I105" i="3"/>
  <c r="H99" i="3"/>
  <c r="H100" i="3"/>
  <c r="H101" i="3"/>
  <c r="H102" i="3"/>
  <c r="H103" i="3"/>
  <c r="H104" i="3"/>
  <c r="H105" i="3"/>
  <c r="G100" i="3"/>
  <c r="G101" i="3"/>
  <c r="G102" i="3"/>
  <c r="G103" i="3"/>
  <c r="G104" i="3"/>
  <c r="G105" i="3"/>
  <c r="F99" i="3"/>
  <c r="F100" i="3"/>
  <c r="F101" i="3"/>
  <c r="F102" i="3"/>
  <c r="F103" i="3"/>
  <c r="F104" i="3"/>
  <c r="F105" i="3"/>
  <c r="I98" i="3"/>
  <c r="H98" i="3"/>
  <c r="G98" i="3"/>
  <c r="G99" i="3"/>
  <c r="F98" i="3"/>
  <c r="D99" i="3"/>
  <c r="D100" i="3"/>
  <c r="D101" i="3"/>
  <c r="D102" i="3"/>
  <c r="D103" i="3"/>
  <c r="D104" i="3"/>
  <c r="D105" i="3"/>
  <c r="D98" i="3"/>
  <c r="C99" i="3"/>
  <c r="C100" i="3"/>
  <c r="C101" i="3"/>
  <c r="C102" i="3"/>
  <c r="C103" i="3"/>
  <c r="C104" i="3"/>
  <c r="C105" i="3"/>
  <c r="C98" i="3"/>
  <c r="C83" i="1"/>
  <c r="I110" i="3"/>
  <c r="I109" i="3"/>
  <c r="I108" i="3"/>
  <c r="I111" i="3" s="1"/>
  <c r="I95" i="3"/>
  <c r="G95" i="3"/>
  <c r="D95" i="3"/>
  <c r="I94" i="3"/>
  <c r="G94" i="3"/>
  <c r="D94" i="3"/>
  <c r="I93" i="3"/>
  <c r="G93" i="3"/>
  <c r="D93" i="3"/>
  <c r="I92" i="3"/>
  <c r="G92" i="3"/>
  <c r="D92" i="3"/>
  <c r="I91" i="3"/>
  <c r="G91" i="3"/>
  <c r="D91" i="3"/>
  <c r="I90" i="3"/>
  <c r="G90" i="3"/>
  <c r="D90" i="3"/>
  <c r="I89" i="3"/>
  <c r="G89" i="3"/>
  <c r="D89" i="3"/>
  <c r="I88" i="3"/>
  <c r="G88" i="3"/>
  <c r="D88" i="3"/>
  <c r="I90" i="1"/>
  <c r="H90" i="1"/>
  <c r="G90" i="1"/>
  <c r="F90" i="1"/>
  <c r="D90" i="1"/>
  <c r="C90" i="1"/>
  <c r="F83" i="1"/>
  <c r="I74" i="1"/>
  <c r="I75" i="1"/>
  <c r="I76" i="1"/>
  <c r="I77" i="1"/>
  <c r="I78" i="1"/>
  <c r="I79" i="1"/>
  <c r="I80" i="1"/>
  <c r="I73" i="1"/>
  <c r="G80" i="1"/>
  <c r="G74" i="1"/>
  <c r="G75" i="1"/>
  <c r="G76" i="1"/>
  <c r="G77" i="1"/>
  <c r="G78" i="1"/>
  <c r="G79" i="1"/>
  <c r="G73" i="1"/>
  <c r="D74" i="1"/>
  <c r="D75" i="1"/>
  <c r="D76" i="1"/>
  <c r="D77" i="1"/>
  <c r="D78" i="1"/>
  <c r="D79" i="1"/>
  <c r="D80" i="1"/>
  <c r="D73" i="1"/>
  <c r="I95" i="1"/>
  <c r="I94" i="1"/>
  <c r="I93" i="1"/>
  <c r="I112" i="3" l="1"/>
  <c r="I113" i="3" s="1"/>
  <c r="I114" i="3" s="1"/>
  <c r="I96" i="1"/>
  <c r="I97" i="1" s="1"/>
  <c r="I98" i="1" s="1"/>
  <c r="I99" i="1" s="1"/>
  <c r="C84" i="1" l="1"/>
  <c r="H84" i="1"/>
  <c r="H85" i="1"/>
  <c r="H86" i="1"/>
  <c r="H87" i="1"/>
  <c r="H88" i="1"/>
  <c r="H89" i="1"/>
  <c r="H83" i="1"/>
  <c r="F85" i="1"/>
  <c r="F86" i="1"/>
  <c r="F87" i="1"/>
  <c r="F88" i="1"/>
  <c r="F89" i="1"/>
  <c r="F84" i="1"/>
  <c r="C85" i="1"/>
  <c r="C86" i="1"/>
  <c r="C87" i="1"/>
  <c r="C88" i="1"/>
  <c r="C89" i="1"/>
  <c r="I84" i="1"/>
  <c r="I85" i="1"/>
  <c r="I86" i="1"/>
  <c r="I87" i="1"/>
  <c r="I88" i="1"/>
  <c r="I89" i="1"/>
  <c r="I83" i="1"/>
  <c r="G84" i="1"/>
  <c r="G85" i="1"/>
  <c r="G86" i="1"/>
  <c r="G87" i="1"/>
  <c r="G88" i="1"/>
  <c r="G89" i="1"/>
  <c r="G83" i="1"/>
  <c r="D84" i="1"/>
  <c r="D85" i="1"/>
  <c r="D86" i="1"/>
  <c r="D87" i="1"/>
  <c r="D88" i="1"/>
  <c r="D89" i="1"/>
  <c r="D83" i="1"/>
  <c r="L14" i="3"/>
  <c r="N14" i="3" s="1"/>
  <c r="H14" i="3"/>
  <c r="F14" i="3"/>
  <c r="F15" i="3"/>
  <c r="L13" i="1"/>
  <c r="N13" i="1" s="1"/>
  <c r="F12" i="1"/>
  <c r="F13" i="1"/>
  <c r="H13" i="1" s="1"/>
  <c r="F18" i="1"/>
  <c r="L18" i="1"/>
  <c r="L19" i="1"/>
  <c r="F9" i="1"/>
  <c r="I49" i="1"/>
  <c r="M49" i="1" s="1"/>
  <c r="P49" i="1" s="1"/>
  <c r="I50" i="1"/>
  <c r="M50" i="1" s="1"/>
  <c r="L11" i="3"/>
  <c r="N11" i="3" s="1"/>
  <c r="L12" i="3"/>
  <c r="N12" i="3" s="1"/>
  <c r="F11" i="3"/>
  <c r="F12" i="3"/>
  <c r="L10" i="1"/>
  <c r="N10" i="1" s="1"/>
  <c r="L11" i="1"/>
  <c r="N11" i="1" s="1"/>
  <c r="F10" i="1"/>
  <c r="F11" i="1"/>
  <c r="P14" i="3" l="1"/>
  <c r="Q14" i="3" s="1"/>
  <c r="R14" i="3" s="1"/>
  <c r="S14" i="3" s="1"/>
  <c r="T14" i="3" s="1"/>
  <c r="P13" i="1"/>
  <c r="V75" i="3"/>
  <c r="V71" i="3"/>
  <c r="V73" i="3"/>
  <c r="I65" i="3"/>
  <c r="I64" i="3"/>
  <c r="M64" i="3" s="1"/>
  <c r="P64" i="3" s="1"/>
  <c r="Q64" i="3" s="1"/>
  <c r="I63" i="3"/>
  <c r="M63" i="3" s="1"/>
  <c r="P63" i="3" s="1"/>
  <c r="I62" i="3"/>
  <c r="M62" i="3" s="1"/>
  <c r="P62" i="3" s="1"/>
  <c r="Q62" i="3" s="1"/>
  <c r="R62" i="3" s="1"/>
  <c r="S62" i="3" s="1"/>
  <c r="T62" i="3" s="1"/>
  <c r="I61" i="3"/>
  <c r="M61" i="3" s="1"/>
  <c r="P61" i="3" s="1"/>
  <c r="Q61" i="3" s="1"/>
  <c r="R61" i="3" s="1"/>
  <c r="S61" i="3" s="1"/>
  <c r="T61" i="3" s="1"/>
  <c r="I60" i="3"/>
  <c r="M60" i="3" s="1"/>
  <c r="P60" i="3" s="1"/>
  <c r="Q60" i="3" s="1"/>
  <c r="R60" i="3" s="1"/>
  <c r="S60" i="3" s="1"/>
  <c r="T60" i="3" s="1"/>
  <c r="I59" i="3"/>
  <c r="M59" i="3" s="1"/>
  <c r="P59" i="3" s="1"/>
  <c r="Q59" i="3" s="1"/>
  <c r="R59" i="3" s="1"/>
  <c r="S59" i="3" s="1"/>
  <c r="T59" i="3" s="1"/>
  <c r="I58" i="3"/>
  <c r="M58" i="3" s="1"/>
  <c r="P58" i="3" s="1"/>
  <c r="Q58" i="3" s="1"/>
  <c r="R58" i="3" s="1"/>
  <c r="S58" i="3" s="1"/>
  <c r="T58" i="3" s="1"/>
  <c r="I57" i="3"/>
  <c r="M57" i="3" s="1"/>
  <c r="P57" i="3" s="1"/>
  <c r="Q57" i="3" s="1"/>
  <c r="R57" i="3" s="1"/>
  <c r="S57" i="3" s="1"/>
  <c r="T57" i="3" s="1"/>
  <c r="I56" i="3"/>
  <c r="M56" i="3" s="1"/>
  <c r="P56" i="3" s="1"/>
  <c r="Q56" i="3" s="1"/>
  <c r="R56" i="3" s="1"/>
  <c r="S56" i="3" s="1"/>
  <c r="T56" i="3" s="1"/>
  <c r="I55" i="3"/>
  <c r="M55" i="3" s="1"/>
  <c r="P55" i="3" s="1"/>
  <c r="Q55" i="3" s="1"/>
  <c r="R55" i="3" s="1"/>
  <c r="S55" i="3" s="1"/>
  <c r="T55" i="3" s="1"/>
  <c r="I54" i="3"/>
  <c r="M54" i="3" s="1"/>
  <c r="P54" i="3" s="1"/>
  <c r="Q54" i="3" s="1"/>
  <c r="R54" i="3" s="1"/>
  <c r="S54" i="3" s="1"/>
  <c r="T54" i="3" s="1"/>
  <c r="I53" i="3"/>
  <c r="M53" i="3" s="1"/>
  <c r="P53" i="3" s="1"/>
  <c r="Q53" i="3" s="1"/>
  <c r="R53" i="3" s="1"/>
  <c r="S53" i="3" s="1"/>
  <c r="T53" i="3" s="1"/>
  <c r="I52" i="3"/>
  <c r="M52" i="3" s="1"/>
  <c r="P52" i="3" s="1"/>
  <c r="Q52" i="3" s="1"/>
  <c r="R52" i="3" s="1"/>
  <c r="S52" i="3" s="1"/>
  <c r="T52" i="3" s="1"/>
  <c r="I51" i="3"/>
  <c r="M51" i="3" s="1"/>
  <c r="P51" i="3" s="1"/>
  <c r="Q51" i="3" s="1"/>
  <c r="R51" i="3" s="1"/>
  <c r="S51" i="3" s="1"/>
  <c r="T51" i="3" s="1"/>
  <c r="I50" i="3"/>
  <c r="M50" i="3" s="1"/>
  <c r="P50" i="3" s="1"/>
  <c r="Q50" i="3" s="1"/>
  <c r="R50" i="3" s="1"/>
  <c r="S50" i="3" s="1"/>
  <c r="T50" i="3" s="1"/>
  <c r="I49" i="3"/>
  <c r="M49" i="3" s="1"/>
  <c r="P49" i="3" s="1"/>
  <c r="Q49" i="3" s="1"/>
  <c r="R49" i="3" s="1"/>
  <c r="S49" i="3" s="1"/>
  <c r="T49" i="3" s="1"/>
  <c r="I48" i="3"/>
  <c r="M48" i="3" s="1"/>
  <c r="P48" i="3" s="1"/>
  <c r="Q48" i="3" s="1"/>
  <c r="R48" i="3" s="1"/>
  <c r="S48" i="3" s="1"/>
  <c r="T48" i="3" s="1"/>
  <c r="I47" i="3"/>
  <c r="M47" i="3" s="1"/>
  <c r="P47" i="3" s="1"/>
  <c r="Q47" i="3" s="1"/>
  <c r="R47" i="3" s="1"/>
  <c r="S47" i="3" s="1"/>
  <c r="T47" i="3" s="1"/>
  <c r="I46" i="3"/>
  <c r="M46" i="3" s="1"/>
  <c r="P46" i="3" s="1"/>
  <c r="Q46" i="3" s="1"/>
  <c r="R46" i="3" s="1"/>
  <c r="S46" i="3" s="1"/>
  <c r="T46" i="3" s="1"/>
  <c r="I45" i="3"/>
  <c r="M45" i="3" s="1"/>
  <c r="P45" i="3" s="1"/>
  <c r="Q45" i="3" s="1"/>
  <c r="R45" i="3" s="1"/>
  <c r="S45" i="3" s="1"/>
  <c r="T45" i="3" s="1"/>
  <c r="I44" i="3"/>
  <c r="M44" i="3" s="1"/>
  <c r="P44" i="3" s="1"/>
  <c r="Q44" i="3" s="1"/>
  <c r="R44" i="3" s="1"/>
  <c r="S44" i="3" s="1"/>
  <c r="T44" i="3" s="1"/>
  <c r="I43" i="3"/>
  <c r="M43" i="3" s="1"/>
  <c r="P43" i="3" s="1"/>
  <c r="Q43" i="3" s="1"/>
  <c r="I38" i="3"/>
  <c r="M38" i="3" s="1"/>
  <c r="P38" i="3" s="1"/>
  <c r="Q38" i="3" s="1"/>
  <c r="R38" i="3" s="1"/>
  <c r="S38" i="3" s="1"/>
  <c r="T38" i="3" s="1"/>
  <c r="I37" i="3"/>
  <c r="M37" i="3" s="1"/>
  <c r="P37" i="3" s="1"/>
  <c r="Q37" i="3" s="1"/>
  <c r="R37" i="3" s="1"/>
  <c r="S37" i="3" s="1"/>
  <c r="T37" i="3" s="1"/>
  <c r="I36" i="3"/>
  <c r="M36" i="3" s="1"/>
  <c r="P36" i="3" s="1"/>
  <c r="Q36" i="3" s="1"/>
  <c r="R36" i="3" s="1"/>
  <c r="S36" i="3" s="1"/>
  <c r="T36" i="3" s="1"/>
  <c r="I35" i="3"/>
  <c r="M35" i="3" s="1"/>
  <c r="P35" i="3" s="1"/>
  <c r="Q35" i="3" s="1"/>
  <c r="R35" i="3" s="1"/>
  <c r="S35" i="3" s="1"/>
  <c r="T35" i="3" s="1"/>
  <c r="I34" i="3"/>
  <c r="M34" i="3" s="1"/>
  <c r="P34" i="3" s="1"/>
  <c r="Q34" i="3" s="1"/>
  <c r="R34" i="3" s="1"/>
  <c r="S34" i="3" s="1"/>
  <c r="T34" i="3" s="1"/>
  <c r="I33" i="3"/>
  <c r="M33" i="3" s="1"/>
  <c r="P33" i="3" s="1"/>
  <c r="Q33" i="3" s="1"/>
  <c r="R33" i="3" s="1"/>
  <c r="S33" i="3" s="1"/>
  <c r="T33" i="3" s="1"/>
  <c r="I32" i="3"/>
  <c r="M32" i="3" s="1"/>
  <c r="P32" i="3" s="1"/>
  <c r="L26" i="3"/>
  <c r="N26" i="3" s="1"/>
  <c r="F26" i="3"/>
  <c r="H26" i="3" s="1"/>
  <c r="L25" i="3"/>
  <c r="N25" i="3" s="1"/>
  <c r="F25" i="3"/>
  <c r="H25" i="3" s="1"/>
  <c r="L24" i="3"/>
  <c r="N24" i="3" s="1"/>
  <c r="F24" i="3"/>
  <c r="H24" i="3" s="1"/>
  <c r="L23" i="3"/>
  <c r="N23" i="3" s="1"/>
  <c r="F23" i="3"/>
  <c r="H23" i="3" s="1"/>
  <c r="L22" i="3"/>
  <c r="N22" i="3" s="1"/>
  <c r="F22" i="3"/>
  <c r="H22" i="3" s="1"/>
  <c r="L21" i="3"/>
  <c r="N21" i="3" s="1"/>
  <c r="F21" i="3"/>
  <c r="H21" i="3" s="1"/>
  <c r="L20" i="3"/>
  <c r="N20" i="3" s="1"/>
  <c r="F20" i="3"/>
  <c r="H20" i="3" s="1"/>
  <c r="L19" i="3"/>
  <c r="F19" i="3"/>
  <c r="H19" i="3" s="1"/>
  <c r="L15" i="3"/>
  <c r="N15" i="3" s="1"/>
  <c r="H15" i="3"/>
  <c r="L13" i="3"/>
  <c r="N13" i="3" s="1"/>
  <c r="F13" i="3"/>
  <c r="H13" i="3" s="1"/>
  <c r="P13" i="3" s="1"/>
  <c r="L10" i="3"/>
  <c r="N10" i="3" s="1"/>
  <c r="F10" i="3"/>
  <c r="H10" i="3" s="1"/>
  <c r="L9" i="3"/>
  <c r="N9" i="3" s="1"/>
  <c r="F9" i="3"/>
  <c r="H9" i="3" s="1"/>
  <c r="L8" i="3"/>
  <c r="N8" i="3" s="1"/>
  <c r="F8" i="3"/>
  <c r="I41" i="1"/>
  <c r="M41" i="1" s="1"/>
  <c r="P41" i="1" s="1"/>
  <c r="I42" i="1"/>
  <c r="M42" i="1" s="1"/>
  <c r="P42" i="1" s="1"/>
  <c r="I43" i="1"/>
  <c r="M43" i="1" s="1"/>
  <c r="P43" i="1" s="1"/>
  <c r="I44" i="1"/>
  <c r="M44" i="1" s="1"/>
  <c r="P44" i="1" s="1"/>
  <c r="I45" i="1"/>
  <c r="M45" i="1" s="1"/>
  <c r="P45" i="1" s="1"/>
  <c r="I46" i="1"/>
  <c r="M46" i="1" s="1"/>
  <c r="P46" i="1" s="1"/>
  <c r="I47" i="1"/>
  <c r="I48" i="1"/>
  <c r="M48" i="1" s="1"/>
  <c r="P48" i="1" s="1"/>
  <c r="I40" i="1"/>
  <c r="M40" i="1" s="1"/>
  <c r="I31" i="1"/>
  <c r="M31" i="1" s="1"/>
  <c r="I32" i="1"/>
  <c r="M32" i="1" s="1"/>
  <c r="P32" i="1" s="1"/>
  <c r="I33" i="1"/>
  <c r="M33" i="1" s="1"/>
  <c r="P33" i="1" s="1"/>
  <c r="I34" i="1"/>
  <c r="M34" i="1" s="1"/>
  <c r="P34" i="1" s="1"/>
  <c r="I35" i="1"/>
  <c r="M35" i="1" s="1"/>
  <c r="P35" i="1" s="1"/>
  <c r="I36" i="1"/>
  <c r="M36" i="1" s="1"/>
  <c r="P36" i="1" s="1"/>
  <c r="I30" i="1"/>
  <c r="N19" i="1"/>
  <c r="L20" i="1"/>
  <c r="N20" i="1" s="1"/>
  <c r="L21" i="1"/>
  <c r="N21" i="1" s="1"/>
  <c r="L22" i="1"/>
  <c r="N22" i="1" s="1"/>
  <c r="L23" i="1"/>
  <c r="N23" i="1" s="1"/>
  <c r="L24" i="1"/>
  <c r="N24" i="1" s="1"/>
  <c r="L25" i="1"/>
  <c r="N25" i="1" s="1"/>
  <c r="N18" i="1"/>
  <c r="L9" i="1"/>
  <c r="N9" i="1" s="1"/>
  <c r="L8" i="1"/>
  <c r="N8" i="1" s="1"/>
  <c r="L12" i="1"/>
  <c r="N12" i="1" s="1"/>
  <c r="L14" i="1"/>
  <c r="N14" i="1" s="1"/>
  <c r="L7" i="1"/>
  <c r="N7" i="1" s="1"/>
  <c r="P40" i="1" l="1"/>
  <c r="M30" i="1"/>
  <c r="P30" i="1" s="1"/>
  <c r="P31" i="1"/>
  <c r="M47" i="1"/>
  <c r="P47" i="1" s="1"/>
  <c r="Q32" i="3"/>
  <c r="R32" i="3" s="1"/>
  <c r="S32" i="3" s="1"/>
  <c r="T32" i="3" s="1"/>
  <c r="T39" i="3" s="1"/>
  <c r="P39" i="3"/>
  <c r="G11" i="3" s="1"/>
  <c r="H11" i="3" s="1"/>
  <c r="P11" i="3" s="1"/>
  <c r="Q11" i="3" s="1"/>
  <c r="R11" i="3" s="1"/>
  <c r="S11" i="3" s="1"/>
  <c r="T11" i="3" s="1"/>
  <c r="Q63" i="3"/>
  <c r="R63" i="3" s="1"/>
  <c r="S63" i="3" s="1"/>
  <c r="T63" i="3" s="1"/>
  <c r="N15" i="1"/>
  <c r="P23" i="3"/>
  <c r="Q23" i="3" s="1"/>
  <c r="R23" i="3" s="1"/>
  <c r="S23" i="3" s="1"/>
  <c r="T23" i="3" s="1"/>
  <c r="P22" i="3"/>
  <c r="Q22" i="3" s="1"/>
  <c r="R22" i="3" s="1"/>
  <c r="S22" i="3" s="1"/>
  <c r="T22" i="3" s="1"/>
  <c r="R43" i="3"/>
  <c r="N26" i="1"/>
  <c r="P24" i="3"/>
  <c r="Q24" i="3" s="1"/>
  <c r="R24" i="3" s="1"/>
  <c r="S24" i="3" s="1"/>
  <c r="T24" i="3" s="1"/>
  <c r="P21" i="3"/>
  <c r="Q21" i="3" s="1"/>
  <c r="R21" i="3" s="1"/>
  <c r="S21" i="3" s="1"/>
  <c r="T21" i="3" s="1"/>
  <c r="P15" i="3"/>
  <c r="Q15" i="3" s="1"/>
  <c r="R15" i="3" s="1"/>
  <c r="S15" i="3" s="1"/>
  <c r="T15" i="3" s="1"/>
  <c r="L27" i="3"/>
  <c r="P20" i="3"/>
  <c r="Q20" i="3" s="1"/>
  <c r="P9" i="3"/>
  <c r="Q9" i="3" s="1"/>
  <c r="R9" i="3" s="1"/>
  <c r="S9" i="3" s="1"/>
  <c r="T9" i="3" s="1"/>
  <c r="P10" i="3"/>
  <c r="Q10" i="3" s="1"/>
  <c r="R10" i="3" s="1"/>
  <c r="S10" i="3" s="1"/>
  <c r="T10" i="3" s="1"/>
  <c r="L16" i="3"/>
  <c r="P25" i="3"/>
  <c r="Q25" i="3" s="1"/>
  <c r="R25" i="3" s="1"/>
  <c r="S25" i="3" s="1"/>
  <c r="T25" i="3" s="1"/>
  <c r="P26" i="3"/>
  <c r="Q26" i="3" s="1"/>
  <c r="R26" i="3" s="1"/>
  <c r="S26" i="3" s="1"/>
  <c r="T26" i="3" s="1"/>
  <c r="Q13" i="3"/>
  <c r="R13" i="3" s="1"/>
  <c r="S13" i="3" s="1"/>
  <c r="T13" i="3" s="1"/>
  <c r="F16" i="3"/>
  <c r="N16" i="3"/>
  <c r="M65" i="3"/>
  <c r="P65" i="3" s="1"/>
  <c r="H27" i="3"/>
  <c r="F27" i="3"/>
  <c r="H8" i="3"/>
  <c r="P8" i="3" s="1"/>
  <c r="Q8" i="3" s="1"/>
  <c r="N19" i="3"/>
  <c r="N27" i="3" s="1"/>
  <c r="L15" i="1"/>
  <c r="P50" i="1"/>
  <c r="L26" i="1"/>
  <c r="M37" i="1" l="1"/>
  <c r="P37" i="1"/>
  <c r="G10" i="1" s="1"/>
  <c r="H10" i="1" s="1"/>
  <c r="P10" i="1" s="1"/>
  <c r="M51" i="1"/>
  <c r="Q39" i="3"/>
  <c r="S39" i="3"/>
  <c r="P51" i="1"/>
  <c r="G11" i="1" s="1"/>
  <c r="H11" i="1" s="1"/>
  <c r="P11" i="1" s="1"/>
  <c r="R39" i="3"/>
  <c r="P66" i="3"/>
  <c r="G12" i="3" s="1"/>
  <c r="H12" i="3" s="1"/>
  <c r="P12" i="3" s="1"/>
  <c r="Q65" i="3"/>
  <c r="R65" i="3" s="1"/>
  <c r="S65" i="3" s="1"/>
  <c r="T65" i="3" s="1"/>
  <c r="N27" i="1"/>
  <c r="S43" i="3"/>
  <c r="L27" i="1"/>
  <c r="R20" i="3"/>
  <c r="L28" i="3"/>
  <c r="F28" i="3"/>
  <c r="R8" i="3"/>
  <c r="P19" i="3"/>
  <c r="Q19" i="3" s="1"/>
  <c r="R19" i="3" s="1"/>
  <c r="S19" i="3" s="1"/>
  <c r="T19" i="3" s="1"/>
  <c r="N28" i="3"/>
  <c r="F14" i="1"/>
  <c r="R37" i="1" l="1"/>
  <c r="R51" i="1"/>
  <c r="Q66" i="3"/>
  <c r="H16" i="3"/>
  <c r="H28" i="3" s="1"/>
  <c r="Q12" i="3"/>
  <c r="P16" i="3"/>
  <c r="R64" i="3"/>
  <c r="T43" i="3"/>
  <c r="Q27" i="3"/>
  <c r="R27" i="3"/>
  <c r="S20" i="3"/>
  <c r="P27" i="3"/>
  <c r="S8" i="3"/>
  <c r="P28" i="3" l="1"/>
  <c r="P69" i="3" s="1"/>
  <c r="P77" i="3" s="1"/>
  <c r="P78" i="3" s="1"/>
  <c r="P79" i="3" s="1"/>
  <c r="R12" i="3"/>
  <c r="Q16" i="3"/>
  <c r="Q28" i="3" s="1"/>
  <c r="Q69" i="3" s="1"/>
  <c r="Q77" i="3" s="1"/>
  <c r="Q80" i="3" s="1"/>
  <c r="S64" i="3"/>
  <c r="R66" i="3"/>
  <c r="S27" i="3"/>
  <c r="T20" i="3"/>
  <c r="T27" i="3" s="1"/>
  <c r="T8" i="3"/>
  <c r="S12" i="3" l="1"/>
  <c r="R16" i="3"/>
  <c r="R28" i="3" s="1"/>
  <c r="R69" i="3" s="1"/>
  <c r="R77" i="3" s="1"/>
  <c r="Q78" i="3"/>
  <c r="Q79" i="3" s="1"/>
  <c r="T64" i="3"/>
  <c r="T66" i="3" s="1"/>
  <c r="S66" i="3"/>
  <c r="P80" i="3"/>
  <c r="T12" i="3" l="1"/>
  <c r="T16" i="3" s="1"/>
  <c r="T28" i="3" s="1"/>
  <c r="T69" i="3" s="1"/>
  <c r="T77" i="3" s="1"/>
  <c r="T80" i="3" s="1"/>
  <c r="S16" i="3"/>
  <c r="S28" i="3" s="1"/>
  <c r="S69" i="3" s="1"/>
  <c r="S77" i="3" s="1"/>
  <c r="S80" i="3" s="1"/>
  <c r="R80" i="3"/>
  <c r="R78" i="3"/>
  <c r="R79" i="3" s="1"/>
  <c r="S78" i="3" l="1"/>
  <c r="S79" i="3" s="1"/>
  <c r="T78" i="3"/>
  <c r="T79" i="3" s="1"/>
  <c r="V69" i="3"/>
  <c r="V77" i="3"/>
  <c r="F19" i="1"/>
  <c r="F20" i="1"/>
  <c r="F21" i="1"/>
  <c r="F22" i="1"/>
  <c r="F23" i="1"/>
  <c r="F24" i="1"/>
  <c r="F25" i="1"/>
  <c r="F8" i="1"/>
  <c r="V79" i="3" l="1"/>
  <c r="V78" i="3"/>
  <c r="H18" i="1"/>
  <c r="P18" i="1" s="1"/>
  <c r="F7" i="1"/>
  <c r="F15" i="1" l="1"/>
  <c r="H9" i="1"/>
  <c r="P9" i="1" s="1"/>
  <c r="H12" i="1"/>
  <c r="P12" i="1" s="1"/>
  <c r="H14" i="1"/>
  <c r="P14" i="1" s="1"/>
  <c r="H7" i="1"/>
  <c r="P7" i="1" s="1"/>
  <c r="H21" i="1" l="1"/>
  <c r="P21" i="1" s="1"/>
  <c r="H22" i="1"/>
  <c r="P22" i="1" s="1"/>
  <c r="H23" i="1"/>
  <c r="P23" i="1" s="1"/>
  <c r="H24" i="1"/>
  <c r="P24" i="1" s="1"/>
  <c r="H25" i="1"/>
  <c r="P25" i="1" s="1"/>
  <c r="H20" i="1"/>
  <c r="P20" i="1" s="1"/>
  <c r="H19" i="1"/>
  <c r="P19" i="1" s="1"/>
  <c r="F26" i="1" l="1"/>
  <c r="F27" i="1" s="1"/>
  <c r="H26" i="1"/>
  <c r="P26" i="1" l="1"/>
  <c r="T6" i="1" l="1"/>
  <c r="G8" i="1"/>
  <c r="H8" i="1" s="1"/>
  <c r="P8" i="1" l="1"/>
  <c r="P15" i="1" s="1"/>
  <c r="P27" i="1" s="1"/>
  <c r="H15" i="1"/>
  <c r="H27" i="1" s="1"/>
  <c r="R27" i="1" l="1"/>
  <c r="P54" i="1"/>
  <c r="P62" i="1" s="1"/>
  <c r="P63" i="1" s="1"/>
  <c r="P64" i="1" s="1"/>
  <c r="P65" i="1" l="1"/>
</calcChain>
</file>

<file path=xl/sharedStrings.xml><?xml version="1.0" encoding="utf-8"?>
<sst xmlns="http://schemas.openxmlformats.org/spreadsheetml/2006/main" count="265" uniqueCount="118">
  <si>
    <t>Task</t>
  </si>
  <si>
    <t># of techs</t>
  </si>
  <si>
    <t>Subtotal 1</t>
  </si>
  <si>
    <t>Subtotal 2</t>
  </si>
  <si>
    <t>Project Management</t>
  </si>
  <si>
    <t>Engineering/Meetings</t>
  </si>
  <si>
    <t>Item</t>
  </si>
  <si>
    <t>Project Total</t>
  </si>
  <si>
    <t>Total Management</t>
  </si>
  <si>
    <t>Labour</t>
  </si>
  <si>
    <t>Subtotal Labour</t>
  </si>
  <si>
    <t>Project Subtotal</t>
  </si>
  <si>
    <t>Cash Allowance</t>
  </si>
  <si>
    <t>Subtotal Materials and Equipment</t>
  </si>
  <si>
    <t>Materials and Equipment</t>
  </si>
  <si>
    <t>Health and Safety</t>
  </si>
  <si>
    <t>Margin</t>
  </si>
  <si>
    <t>Utility Isolation</t>
  </si>
  <si>
    <t>HST</t>
  </si>
  <si>
    <t>TOTAL</t>
  </si>
  <si>
    <t>Subcontractors</t>
  </si>
  <si>
    <t>Subtotal Subcontractors</t>
  </si>
  <si>
    <t>Sub Total Labour</t>
  </si>
  <si>
    <t>ESA Submissions</t>
  </si>
  <si>
    <t>Surcharge</t>
  </si>
  <si>
    <t>Total Surcharge</t>
  </si>
  <si>
    <t>Unit Price</t>
  </si>
  <si>
    <t>Material Item</t>
  </si>
  <si>
    <t>Other</t>
  </si>
  <si>
    <t>Misc. Subcontractors</t>
  </si>
  <si>
    <t>Misc. Materials</t>
  </si>
  <si>
    <t>Days/Units</t>
  </si>
  <si>
    <t>HST Check for final price should be the same as above</t>
  </si>
  <si>
    <t>Aluminum Bracket (Aluma Form)</t>
  </si>
  <si>
    <t>Forman - site supervision and civil</t>
  </si>
  <si>
    <t>Civil work</t>
  </si>
  <si>
    <t>Rigid conduit 1"</t>
  </si>
  <si>
    <t>Rigid conduit 2"</t>
  </si>
  <si>
    <t>Rigid Coupling 1"</t>
  </si>
  <si>
    <t>Rigid Coupling 2"</t>
  </si>
  <si>
    <t>YGA282N - 2 Hole Lug, #4/o AWG</t>
  </si>
  <si>
    <t>Mounting tape - VBH F-9473PB by 3M</t>
  </si>
  <si>
    <t>Foam tape - VBH F-4910 by 3M</t>
  </si>
  <si>
    <t>Breaker HLL36060</t>
  </si>
  <si>
    <t>Rigid Bullet Hub Connectors - 3/4" and Nut</t>
  </si>
  <si>
    <t>Rigid Bullet Hub Connectors - 1" and Nut</t>
  </si>
  <si>
    <t>Rigid Bullet Hub Connectors - 2" and Nut</t>
  </si>
  <si>
    <t>Pull Box, EEMAC-1 300mX300mmX150mm (P/N: CS12126)</t>
  </si>
  <si>
    <t>Rigid 90deg - 3/4"</t>
  </si>
  <si>
    <t>Rigid 90deg - 1"</t>
  </si>
  <si>
    <t>Rigid 90deg - 2"</t>
  </si>
  <si>
    <t>AS-7096N Sealant</t>
  </si>
  <si>
    <t>Temp Door</t>
  </si>
  <si>
    <t>Year 1</t>
  </si>
  <si>
    <t>Year 2</t>
  </si>
  <si>
    <t>Year 3</t>
  </si>
  <si>
    <t>Year 4</t>
  </si>
  <si>
    <t>Year 5</t>
  </si>
  <si>
    <t>Totals</t>
  </si>
  <si>
    <t>Discount</t>
  </si>
  <si>
    <t>Bonding Costs</t>
  </si>
  <si>
    <t>CSL</t>
  </si>
  <si>
    <t>Pioneer</t>
  </si>
  <si>
    <t>Materials</t>
  </si>
  <si>
    <t>Crane</t>
  </si>
  <si>
    <t>Millwrighting</t>
  </si>
  <si>
    <t>Mob/demob</t>
  </si>
  <si>
    <t>Total O/T Hours</t>
  </si>
  <si>
    <t>Regular Labour Rate</t>
  </si>
  <si>
    <t>Total Regular Hours</t>
  </si>
  <si>
    <t>O/T Hours</t>
  </si>
  <si>
    <t>O/T Labour Rate</t>
  </si>
  <si>
    <t>Subtotal 3 - Sell Rate</t>
  </si>
  <si>
    <t>Units/Length</t>
  </si>
  <si>
    <t>Regular Hours</t>
  </si>
  <si>
    <t>Regular Labour Rates</t>
  </si>
  <si>
    <t>Premium Labour Rates</t>
  </si>
  <si>
    <t>AINSWORTH LABOUR</t>
  </si>
  <si>
    <t>Subtotal 3</t>
  </si>
  <si>
    <t>Subtotal 4</t>
  </si>
  <si>
    <t>Subtotal 5</t>
  </si>
  <si>
    <t>Subtotal 6</t>
  </si>
  <si>
    <t>Digitrip 520 MC</t>
  </si>
  <si>
    <t>Lodging</t>
  </si>
  <si>
    <t>FOREMAN                                          </t>
  </si>
  <si>
    <t>JOURNEYMAN                                 </t>
  </si>
  <si>
    <t>APPRENTICE #5                                </t>
  </si>
  <si>
    <t>APPRENTICE #4                                </t>
  </si>
  <si>
    <t>APPRENTICE #3                              </t>
  </si>
  <si>
    <t xml:space="preserve">APPRENTICE #2                                 </t>
  </si>
  <si>
    <t xml:space="preserve">APPRENTICE #1                                 </t>
  </si>
  <si>
    <t>Regular</t>
  </si>
  <si>
    <t>Double Time</t>
  </si>
  <si>
    <t>Regular W/truck</t>
  </si>
  <si>
    <t>Double Time W/truck</t>
  </si>
  <si>
    <t>Shift 20%</t>
  </si>
  <si>
    <t>Shift 20% W/truck</t>
  </si>
  <si>
    <t xml:space="preserve">Customer and Project Scope -  </t>
  </si>
  <si>
    <t>Bonding</t>
  </si>
  <si>
    <t>rate/Moths</t>
  </si>
  <si>
    <t>First $2.5M</t>
  </si>
  <si>
    <t>Second $2.5M</t>
  </si>
  <si>
    <t>Third $2.5M</t>
  </si>
  <si>
    <t>after 24 months</t>
  </si>
  <si>
    <t>Grand Total for Bond</t>
  </si>
  <si>
    <t>Sell Price</t>
  </si>
  <si>
    <t>APS (Cost)</t>
  </si>
  <si>
    <t>APS (Sell)</t>
  </si>
  <si>
    <t>Subtotal</t>
  </si>
  <si>
    <t>LV material and installation</t>
  </si>
  <si>
    <t>mob/demob</t>
  </si>
  <si>
    <t>Cable work</t>
  </si>
  <si>
    <t>pre apprentice</t>
  </si>
  <si>
    <t>500-3C TECK 15KV 133% - 15% overlap SHLD</t>
  </si>
  <si>
    <t>500-3C TECK 5KV SHLD ORANGE 133%</t>
  </si>
  <si>
    <t>terminations</t>
  </si>
  <si>
    <t>lugs</t>
  </si>
  <si>
    <t>telehandler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</si>
</sst>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0000"/>
      <name val="Aptos Narrow"/>
      <family val="2"/>
    </font>
    <font>
      <b/>
      <sz val="16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47">
    <xf numFmtId="0" fontId="0" fillId="0" borderId="0" xfId="0"/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8" xfId="0" applyFont="1" applyBorder="1" applyAlignment="1">
      <alignment horizontal="center" vertical="center" wrapText="1"/>
    </xf>
    <xf numFmtId="0" fontId="5" fillId="0" borderId="8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164" fontId="5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5" fillId="0" borderId="1" xfId="0" quotePrefix="1" applyFont="1" applyBorder="1" applyAlignment="1">
      <alignment horizontal="left" vertical="center" wrapText="1"/>
    </xf>
    <xf numFmtId="44" fontId="2" fillId="0" borderId="0" xfId="0" applyNumberFormat="1" applyFont="1" applyAlignment="1">
      <alignment vertical="center"/>
    </xf>
    <xf numFmtId="4" fontId="9" fillId="0" borderId="0" xfId="0" applyNumberFormat="1" applyFont="1"/>
    <xf numFmtId="164" fontId="5" fillId="2" borderId="8" xfId="1" applyFont="1" applyFill="1" applyBorder="1" applyAlignment="1">
      <alignment horizontal="center" vertical="center" wrapText="1"/>
    </xf>
    <xf numFmtId="164" fontId="5" fillId="2" borderId="1" xfId="1" applyFont="1" applyFill="1" applyBorder="1" applyAlignment="1">
      <alignment horizontal="center" vertical="center" wrapText="1"/>
    </xf>
    <xf numFmtId="164" fontId="7" fillId="4" borderId="1" xfId="0" applyNumberFormat="1" applyFont="1" applyFill="1" applyBorder="1" applyAlignment="1">
      <alignment vertical="center"/>
    </xf>
    <xf numFmtId="164" fontId="7" fillId="5" borderId="4" xfId="0" applyNumberFormat="1" applyFont="1" applyFill="1" applyBorder="1" applyAlignment="1">
      <alignment vertical="center"/>
    </xf>
    <xf numFmtId="0" fontId="5" fillId="2" borderId="8" xfId="1" applyNumberFormat="1" applyFont="1" applyFill="1" applyBorder="1" applyAlignment="1">
      <alignment horizontal="center" vertical="center" wrapText="1"/>
    </xf>
    <xf numFmtId="0" fontId="5" fillId="2" borderId="1" xfId="1" applyNumberFormat="1" applyFont="1" applyFill="1" applyBorder="1" applyAlignment="1">
      <alignment horizontal="center" vertical="center" wrapText="1"/>
    </xf>
    <xf numFmtId="164" fontId="5" fillId="0" borderId="31" xfId="1" applyFont="1" applyFill="1" applyBorder="1" applyAlignment="1">
      <alignment horizontal="center" vertical="center" wrapText="1"/>
    </xf>
    <xf numFmtId="164" fontId="5" fillId="0" borderId="32" xfId="1" applyFont="1" applyFill="1" applyBorder="1" applyAlignment="1">
      <alignment horizontal="center" vertical="center" wrapText="1"/>
    </xf>
    <xf numFmtId="164" fontId="4" fillId="0" borderId="33" xfId="0" applyNumberFormat="1" applyFont="1" applyBorder="1" applyAlignment="1">
      <alignment horizontal="center" vertical="center" wrapText="1"/>
    </xf>
    <xf numFmtId="164" fontId="5" fillId="0" borderId="33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5" fillId="4" borderId="35" xfId="1" applyFont="1" applyFill="1" applyBorder="1" applyAlignment="1">
      <alignment horizontal="center" vertical="center" wrapText="1"/>
    </xf>
    <xf numFmtId="164" fontId="5" fillId="4" borderId="36" xfId="1" applyFont="1" applyFill="1" applyBorder="1" applyAlignment="1">
      <alignment horizontal="center" vertical="center" wrapText="1"/>
    </xf>
    <xf numFmtId="164" fontId="4" fillId="4" borderId="37" xfId="1" applyFont="1" applyFill="1" applyBorder="1" applyAlignment="1">
      <alignment horizontal="center" vertical="center" wrapText="1"/>
    </xf>
    <xf numFmtId="164" fontId="5" fillId="4" borderId="38" xfId="1" applyFont="1" applyFill="1" applyBorder="1" applyAlignment="1">
      <alignment horizontal="center" vertical="center" wrapText="1"/>
    </xf>
    <xf numFmtId="164" fontId="4" fillId="4" borderId="38" xfId="1" applyFont="1" applyFill="1" applyBorder="1" applyAlignment="1">
      <alignment horizontal="center" vertical="center" wrapText="1"/>
    </xf>
    <xf numFmtId="164" fontId="5" fillId="4" borderId="35" xfId="0" applyNumberFormat="1" applyFont="1" applyFill="1" applyBorder="1" applyAlignment="1">
      <alignment horizontal="center" vertical="center" wrapText="1"/>
    </xf>
    <xf numFmtId="164" fontId="5" fillId="4" borderId="36" xfId="0" applyNumberFormat="1" applyFont="1" applyFill="1" applyBorder="1" applyAlignment="1">
      <alignment horizontal="center" vertical="center" wrapText="1"/>
    </xf>
    <xf numFmtId="164" fontId="4" fillId="4" borderId="37" xfId="0" applyNumberFormat="1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 wrapText="1"/>
    </xf>
    <xf numFmtId="0" fontId="5" fillId="2" borderId="40" xfId="1" applyNumberFormat="1" applyFont="1" applyFill="1" applyBorder="1" applyAlignment="1">
      <alignment horizontal="center" vertical="center" wrapText="1"/>
    </xf>
    <xf numFmtId="164" fontId="5" fillId="2" borderId="40" xfId="1" applyFont="1" applyFill="1" applyBorder="1" applyAlignment="1">
      <alignment horizontal="center" vertical="center" wrapText="1"/>
    </xf>
    <xf numFmtId="164" fontId="5" fillId="0" borderId="41" xfId="1" applyFont="1" applyFill="1" applyBorder="1" applyAlignment="1">
      <alignment horizontal="center" vertical="center" wrapText="1"/>
    </xf>
    <xf numFmtId="0" fontId="5" fillId="2" borderId="42" xfId="1" applyNumberFormat="1" applyFont="1" applyFill="1" applyBorder="1" applyAlignment="1">
      <alignment horizontal="center" vertical="center" wrapText="1"/>
    </xf>
    <xf numFmtId="0" fontId="4" fillId="2" borderId="46" xfId="0" applyFont="1" applyFill="1" applyBorder="1" applyAlignment="1">
      <alignment horizontal="center" vertical="center" wrapText="1"/>
    </xf>
    <xf numFmtId="164" fontId="4" fillId="0" borderId="46" xfId="0" applyNumberFormat="1" applyFont="1" applyBorder="1" applyAlignment="1">
      <alignment horizontal="center" vertical="center" wrapText="1"/>
    </xf>
    <xf numFmtId="164" fontId="4" fillId="0" borderId="47" xfId="0" applyNumberFormat="1" applyFont="1" applyBorder="1" applyAlignment="1">
      <alignment horizontal="center" vertical="center" wrapText="1"/>
    </xf>
    <xf numFmtId="164" fontId="5" fillId="0" borderId="2" xfId="1" applyFont="1" applyFill="1" applyBorder="1" applyAlignment="1">
      <alignment horizontal="center" vertical="center" wrapText="1"/>
    </xf>
    <xf numFmtId="164" fontId="4" fillId="0" borderId="2" xfId="0" applyNumberFormat="1" applyFont="1" applyBorder="1" applyAlignment="1">
      <alignment vertical="center" wrapText="1"/>
    </xf>
    <xf numFmtId="0" fontId="5" fillId="2" borderId="48" xfId="1" applyNumberFormat="1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164" fontId="6" fillId="2" borderId="12" xfId="1" applyFont="1" applyFill="1" applyBorder="1" applyAlignment="1">
      <alignment horizontal="center" vertical="center" wrapText="1"/>
    </xf>
    <xf numFmtId="0" fontId="6" fillId="4" borderId="34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164" fontId="5" fillId="4" borderId="39" xfId="1" applyFont="1" applyFill="1" applyBorder="1" applyAlignment="1">
      <alignment horizontal="center" vertical="center" wrapText="1"/>
    </xf>
    <xf numFmtId="164" fontId="2" fillId="4" borderId="40" xfId="0" applyNumberFormat="1" applyFont="1" applyFill="1" applyBorder="1" applyAlignment="1">
      <alignment vertical="center"/>
    </xf>
    <xf numFmtId="164" fontId="2" fillId="4" borderId="41" xfId="0" applyNumberFormat="1" applyFont="1" applyFill="1" applyBorder="1" applyAlignment="1">
      <alignment vertical="center"/>
    </xf>
    <xf numFmtId="164" fontId="5" fillId="4" borderId="48" xfId="1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vertical="center"/>
    </xf>
    <xf numFmtId="164" fontId="2" fillId="4" borderId="33" xfId="0" applyNumberFormat="1" applyFont="1" applyFill="1" applyBorder="1" applyAlignment="1">
      <alignment vertical="center"/>
    </xf>
    <xf numFmtId="164" fontId="4" fillId="4" borderId="57" xfId="1" applyFont="1" applyFill="1" applyBorder="1" applyAlignment="1">
      <alignment horizontal="center" vertical="center" wrapText="1"/>
    </xf>
    <xf numFmtId="164" fontId="4" fillId="4" borderId="46" xfId="1" applyFont="1" applyFill="1" applyBorder="1" applyAlignment="1">
      <alignment horizontal="center" vertical="center" wrapText="1"/>
    </xf>
    <xf numFmtId="164" fontId="4" fillId="4" borderId="47" xfId="1" applyFont="1" applyFill="1" applyBorder="1" applyAlignment="1">
      <alignment horizontal="center" vertical="center" wrapText="1"/>
    </xf>
    <xf numFmtId="164" fontId="4" fillId="4" borderId="48" xfId="1" applyFont="1" applyFill="1" applyBorder="1" applyAlignment="1">
      <alignment horizontal="center" vertical="center" wrapText="1"/>
    </xf>
    <xf numFmtId="164" fontId="4" fillId="4" borderId="1" xfId="1" applyFont="1" applyFill="1" applyBorder="1" applyAlignment="1">
      <alignment horizontal="center" vertical="center" wrapText="1"/>
    </xf>
    <xf numFmtId="164" fontId="4" fillId="4" borderId="33" xfId="1" applyFont="1" applyFill="1" applyBorder="1" applyAlignment="1">
      <alignment horizontal="center" vertical="center" wrapText="1"/>
    </xf>
    <xf numFmtId="164" fontId="5" fillId="4" borderId="40" xfId="0" applyNumberFormat="1" applyFont="1" applyFill="1" applyBorder="1" applyAlignment="1">
      <alignment vertical="center"/>
    </xf>
    <xf numFmtId="164" fontId="5" fillId="4" borderId="41" xfId="0" applyNumberFormat="1" applyFont="1" applyFill="1" applyBorder="1" applyAlignment="1">
      <alignment vertical="center"/>
    </xf>
    <xf numFmtId="164" fontId="5" fillId="4" borderId="1" xfId="0" applyNumberFormat="1" applyFont="1" applyFill="1" applyBorder="1" applyAlignment="1">
      <alignment vertical="center"/>
    </xf>
    <xf numFmtId="164" fontId="5" fillId="4" borderId="33" xfId="0" applyNumberFormat="1" applyFont="1" applyFill="1" applyBorder="1" applyAlignment="1">
      <alignment vertical="center"/>
    </xf>
    <xf numFmtId="164" fontId="5" fillId="4" borderId="39" xfId="0" applyNumberFormat="1" applyFont="1" applyFill="1" applyBorder="1" applyAlignment="1">
      <alignment horizontal="center" vertical="center" wrapText="1"/>
    </xf>
    <xf numFmtId="164" fontId="5" fillId="4" borderId="48" xfId="0" applyNumberFormat="1" applyFont="1" applyFill="1" applyBorder="1" applyAlignment="1">
      <alignment horizontal="center" vertical="center" wrapText="1"/>
    </xf>
    <xf numFmtId="164" fontId="4" fillId="4" borderId="57" xfId="0" applyNumberFormat="1" applyFont="1" applyFill="1" applyBorder="1" applyAlignment="1">
      <alignment horizontal="center" vertical="center"/>
    </xf>
    <xf numFmtId="164" fontId="4" fillId="4" borderId="46" xfId="0" applyNumberFormat="1" applyFont="1" applyFill="1" applyBorder="1" applyAlignment="1">
      <alignment horizontal="center" vertical="center"/>
    </xf>
    <xf numFmtId="164" fontId="4" fillId="4" borderId="47" xfId="0" applyNumberFormat="1" applyFont="1" applyFill="1" applyBorder="1" applyAlignment="1">
      <alignment horizontal="center" vertical="center"/>
    </xf>
    <xf numFmtId="164" fontId="7" fillId="4" borderId="39" xfId="0" applyNumberFormat="1" applyFont="1" applyFill="1" applyBorder="1" applyAlignment="1">
      <alignment vertical="center"/>
    </xf>
    <xf numFmtId="164" fontId="7" fillId="4" borderId="40" xfId="0" applyNumberFormat="1" applyFont="1" applyFill="1" applyBorder="1" applyAlignment="1">
      <alignment vertical="center"/>
    </xf>
    <xf numFmtId="164" fontId="7" fillId="4" borderId="41" xfId="0" applyNumberFormat="1" applyFont="1" applyFill="1" applyBorder="1" applyAlignment="1">
      <alignment vertical="center"/>
    </xf>
    <xf numFmtId="164" fontId="7" fillId="4" borderId="48" xfId="0" applyNumberFormat="1" applyFont="1" applyFill="1" applyBorder="1" applyAlignment="1">
      <alignment vertical="center"/>
    </xf>
    <xf numFmtId="164" fontId="7" fillId="4" borderId="33" xfId="0" applyNumberFormat="1" applyFont="1" applyFill="1" applyBorder="1" applyAlignment="1">
      <alignment vertical="center"/>
    </xf>
    <xf numFmtId="164" fontId="7" fillId="4" borderId="57" xfId="0" applyNumberFormat="1" applyFont="1" applyFill="1" applyBorder="1" applyAlignment="1">
      <alignment vertical="center"/>
    </xf>
    <xf numFmtId="164" fontId="7" fillId="4" borderId="46" xfId="0" applyNumberFormat="1" applyFont="1" applyFill="1" applyBorder="1" applyAlignment="1">
      <alignment vertical="center"/>
    </xf>
    <xf numFmtId="164" fontId="7" fillId="4" borderId="47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6" borderId="12" xfId="0" applyFont="1" applyFill="1" applyBorder="1" applyAlignment="1">
      <alignment horizontal="center" vertical="center" wrapText="1"/>
    </xf>
    <xf numFmtId="164" fontId="3" fillId="6" borderId="12" xfId="1" applyFont="1" applyFill="1" applyBorder="1" applyAlignment="1">
      <alignment horizontal="center" vertical="center" wrapText="1"/>
    </xf>
    <xf numFmtId="0" fontId="3" fillId="6" borderId="12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0" borderId="33" xfId="0" applyNumberFormat="1" applyFont="1" applyBorder="1" applyAlignment="1">
      <alignment vertical="center" wrapText="1"/>
    </xf>
    <xf numFmtId="164" fontId="4" fillId="0" borderId="47" xfId="0" applyNumberFormat="1" applyFont="1" applyBorder="1" applyAlignment="1">
      <alignment vertical="center" wrapText="1"/>
    </xf>
    <xf numFmtId="164" fontId="5" fillId="2" borderId="58" xfId="1" applyFont="1" applyFill="1" applyBorder="1" applyAlignment="1">
      <alignment horizontal="center" vertical="center" wrapText="1"/>
    </xf>
    <xf numFmtId="44" fontId="2" fillId="0" borderId="1" xfId="0" applyNumberFormat="1" applyFont="1" applyBorder="1" applyAlignment="1">
      <alignment horizontal="center" vertical="center"/>
    </xf>
    <xf numFmtId="44" fontId="11" fillId="0" borderId="1" xfId="0" applyNumberFormat="1" applyFont="1" applyBorder="1" applyAlignment="1">
      <alignment horizontal="center" vertical="center"/>
    </xf>
    <xf numFmtId="44" fontId="13" fillId="0" borderId="1" xfId="0" applyNumberFormat="1" applyFont="1" applyBorder="1" applyAlignment="1">
      <alignment horizontal="center" vertical="center"/>
    </xf>
    <xf numFmtId="44" fontId="2" fillId="0" borderId="8" xfId="0" applyNumberFormat="1" applyFont="1" applyBorder="1" applyAlignment="1">
      <alignment horizontal="center" vertical="center"/>
    </xf>
    <xf numFmtId="44" fontId="11" fillId="0" borderId="8" xfId="0" applyNumberFormat="1" applyFont="1" applyBorder="1" applyAlignment="1">
      <alignment horizontal="center" vertical="center"/>
    </xf>
    <xf numFmtId="44" fontId="13" fillId="0" borderId="8" xfId="0" applyNumberFormat="1" applyFont="1" applyBorder="1" applyAlignment="1">
      <alignment horizontal="center" vertical="center"/>
    </xf>
    <xf numFmtId="44" fontId="12" fillId="0" borderId="8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44" fontId="2" fillId="0" borderId="1" xfId="0" applyNumberFormat="1" applyFont="1" applyBorder="1" applyAlignment="1">
      <alignment vertical="center"/>
    </xf>
    <xf numFmtId="0" fontId="4" fillId="0" borderId="17" xfId="0" applyFont="1" applyBorder="1" applyAlignment="1">
      <alignment horizontal="center" vertical="center" wrapText="1"/>
    </xf>
    <xf numFmtId="0" fontId="4" fillId="0" borderId="28" xfId="0" applyFont="1" applyBorder="1" applyAlignment="1">
      <alignment vertical="center" wrapText="1"/>
    </xf>
    <xf numFmtId="0" fontId="4" fillId="0" borderId="1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164" fontId="4" fillId="0" borderId="6" xfId="0" applyNumberFormat="1" applyFont="1" applyBorder="1" applyAlignment="1">
      <alignment vertical="center" wrapText="1"/>
    </xf>
    <xf numFmtId="0" fontId="4" fillId="2" borderId="17" xfId="0" applyFont="1" applyFill="1" applyBorder="1" applyAlignment="1">
      <alignment horizontal="center" vertical="center" wrapText="1"/>
    </xf>
    <xf numFmtId="164" fontId="4" fillId="0" borderId="61" xfId="0" applyNumberFormat="1" applyFont="1" applyBorder="1" applyAlignment="1">
      <alignment vertical="center" wrapText="1"/>
    </xf>
    <xf numFmtId="164" fontId="4" fillId="4" borderId="62" xfId="1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44" fontId="14" fillId="0" borderId="0" xfId="0" applyNumberFormat="1" applyFont="1" applyAlignment="1">
      <alignment vertical="center"/>
    </xf>
    <xf numFmtId="44" fontId="2" fillId="0" borderId="0" xfId="0" applyNumberFormat="1" applyFont="1" applyAlignment="1">
      <alignment horizontal="center" vertical="center"/>
    </xf>
    <xf numFmtId="44" fontId="2" fillId="0" borderId="8" xfId="0" applyNumberFormat="1" applyFont="1" applyBorder="1" applyAlignment="1">
      <alignment horizontal="center" vertical="center"/>
    </xf>
    <xf numFmtId="44" fontId="2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164" fontId="5" fillId="0" borderId="1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3" fillId="6" borderId="34" xfId="0" applyFont="1" applyFill="1" applyBorder="1" applyAlignment="1">
      <alignment horizontal="center" vertical="center" wrapText="1"/>
    </xf>
    <xf numFmtId="0" fontId="3" fillId="6" borderId="54" xfId="0" applyFont="1" applyFill="1" applyBorder="1" applyAlignment="1">
      <alignment horizontal="center" vertical="center" wrapText="1"/>
    </xf>
    <xf numFmtId="164" fontId="3" fillId="6" borderId="13" xfId="1" applyFont="1" applyFill="1" applyBorder="1" applyAlignment="1">
      <alignment horizontal="center" vertical="center" wrapText="1"/>
    </xf>
    <xf numFmtId="164" fontId="3" fillId="6" borderId="15" xfId="1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 wrapText="1"/>
    </xf>
    <xf numFmtId="0" fontId="3" fillId="6" borderId="15" xfId="0" applyFont="1" applyFill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164" fontId="5" fillId="2" borderId="2" xfId="0" applyNumberFormat="1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164" fontId="5" fillId="0" borderId="9" xfId="0" applyNumberFormat="1" applyFont="1" applyBorder="1" applyAlignment="1">
      <alignment horizontal="center" vertical="center" wrapText="1"/>
    </xf>
    <xf numFmtId="164" fontId="5" fillId="0" borderId="11" xfId="0" applyNumberFormat="1" applyFont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164" fontId="5" fillId="2" borderId="26" xfId="0" applyNumberFormat="1" applyFont="1" applyFill="1" applyBorder="1" applyAlignment="1">
      <alignment horizontal="center" vertical="center" wrapText="1"/>
    </xf>
    <xf numFmtId="164" fontId="5" fillId="2" borderId="27" xfId="0" applyNumberFormat="1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6" fillId="3" borderId="34" xfId="0" applyFont="1" applyFill="1" applyBorder="1" applyAlignment="1">
      <alignment horizontal="center" vertical="center" wrapText="1"/>
    </xf>
    <xf numFmtId="164" fontId="5" fillId="0" borderId="26" xfId="0" applyNumberFormat="1" applyFont="1" applyBorder="1" applyAlignment="1">
      <alignment horizontal="center" vertical="center" wrapText="1"/>
    </xf>
    <xf numFmtId="164" fontId="5" fillId="0" borderId="27" xfId="0" applyNumberFormat="1" applyFont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164" fontId="5" fillId="2" borderId="23" xfId="0" applyNumberFormat="1" applyFont="1" applyFill="1" applyBorder="1" applyAlignment="1">
      <alignment horizontal="center" vertical="center" wrapText="1"/>
    </xf>
    <xf numFmtId="164" fontId="5" fillId="2" borderId="24" xfId="0" applyNumberFormat="1" applyFont="1" applyFill="1" applyBorder="1" applyAlignment="1">
      <alignment horizontal="center" vertical="center" wrapText="1"/>
    </xf>
    <xf numFmtId="0" fontId="6" fillId="4" borderId="34" xfId="0" applyFont="1" applyFill="1" applyBorder="1" applyAlignment="1">
      <alignment horizontal="center" vertical="center" wrapText="1"/>
    </xf>
    <xf numFmtId="0" fontId="6" fillId="4" borderId="54" xfId="0" applyFont="1" applyFill="1" applyBorder="1" applyAlignment="1">
      <alignment horizontal="center" vertical="center" wrapText="1"/>
    </xf>
    <xf numFmtId="0" fontId="3" fillId="6" borderId="14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164" fontId="4" fillId="0" borderId="49" xfId="0" applyNumberFormat="1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164" fontId="4" fillId="0" borderId="60" xfId="0" applyNumberFormat="1" applyFont="1" applyBorder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164" fontId="4" fillId="0" borderId="30" xfId="0" applyNumberFormat="1" applyFont="1" applyBorder="1" applyAlignment="1">
      <alignment horizontal="center" vertical="center" wrapText="1"/>
    </xf>
    <xf numFmtId="164" fontId="4" fillId="0" borderId="17" xfId="0" applyNumberFormat="1" applyFont="1" applyBorder="1" applyAlignment="1">
      <alignment horizontal="center" vertical="center" wrapText="1"/>
    </xf>
    <xf numFmtId="164" fontId="4" fillId="0" borderId="59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4" fontId="2" fillId="0" borderId="30" xfId="0" applyNumberFormat="1" applyFont="1" applyBorder="1" applyAlignment="1">
      <alignment horizontal="center" vertical="center"/>
    </xf>
    <xf numFmtId="44" fontId="2" fillId="0" borderId="29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44" fontId="2" fillId="0" borderId="26" xfId="0" applyNumberFormat="1" applyFont="1" applyBorder="1" applyAlignment="1">
      <alignment horizontal="center" vertical="center"/>
    </xf>
    <xf numFmtId="44" fontId="2" fillId="0" borderId="27" xfId="0" applyNumberFormat="1" applyFont="1" applyBorder="1" applyAlignment="1">
      <alignment horizontal="center" vertical="center"/>
    </xf>
    <xf numFmtId="44" fontId="2" fillId="0" borderId="9" xfId="0" applyNumberFormat="1" applyFont="1" applyBorder="1" applyAlignment="1">
      <alignment horizontal="center" vertical="center"/>
    </xf>
    <xf numFmtId="44" fontId="2" fillId="0" borderId="1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 wrapText="1"/>
    </xf>
    <xf numFmtId="164" fontId="5" fillId="2" borderId="11" xfId="0" applyNumberFormat="1" applyFont="1" applyFill="1" applyBorder="1" applyAlignment="1">
      <alignment horizontal="center" vertical="center" wrapText="1"/>
    </xf>
    <xf numFmtId="164" fontId="5" fillId="0" borderId="29" xfId="0" applyNumberFormat="1" applyFont="1" applyBorder="1" applyAlignment="1">
      <alignment horizontal="center" vertical="center" wrapText="1"/>
    </xf>
    <xf numFmtId="164" fontId="5" fillId="0" borderId="30" xfId="0" applyNumberFormat="1" applyFont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3" fillId="6" borderId="56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4" borderId="19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164" fontId="3" fillId="6" borderId="34" xfId="1" applyFont="1" applyFill="1" applyBorder="1" applyAlignment="1">
      <alignment horizontal="center" vertical="center" wrapText="1"/>
    </xf>
    <xf numFmtId="164" fontId="3" fillId="6" borderId="54" xfId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50" xfId="0" applyNumberFormat="1" applyFont="1" applyBorder="1" applyAlignment="1">
      <alignment horizontal="center" vertical="center" wrapText="1"/>
    </xf>
    <xf numFmtId="164" fontId="4" fillId="0" borderId="51" xfId="0" applyNumberFormat="1" applyFont="1" applyBorder="1" applyAlignment="1">
      <alignment horizontal="center" vertical="center" wrapText="1"/>
    </xf>
    <xf numFmtId="164" fontId="4" fillId="0" borderId="52" xfId="0" applyNumberFormat="1" applyFont="1" applyBorder="1" applyAlignment="1">
      <alignment horizontal="center" vertical="center" wrapText="1"/>
    </xf>
    <xf numFmtId="164" fontId="4" fillId="0" borderId="53" xfId="0" applyNumberFormat="1" applyFont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6" fillId="3" borderId="55" xfId="0" applyFont="1" applyFill="1" applyBorder="1" applyAlignment="1">
      <alignment horizontal="center" vertical="center" wrapText="1"/>
    </xf>
    <xf numFmtId="164" fontId="5" fillId="2" borderId="29" xfId="0" applyNumberFormat="1" applyFont="1" applyFill="1" applyBorder="1" applyAlignment="1">
      <alignment horizontal="center" vertical="center" wrapText="1"/>
    </xf>
    <xf numFmtId="164" fontId="5" fillId="2" borderId="30" xfId="0" applyNumberFormat="1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3" borderId="18" xfId="0" applyFont="1" applyFill="1" applyBorder="1" applyAlignment="1">
      <alignment horizontal="center" vertical="center" wrapText="1"/>
    </xf>
    <xf numFmtId="0" fontId="6" fillId="3" borderId="19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29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164" fontId="6" fillId="2" borderId="34" xfId="1" applyFont="1" applyFill="1" applyBorder="1" applyAlignment="1">
      <alignment horizontal="center" vertical="center" wrapText="1"/>
    </xf>
    <xf numFmtId="164" fontId="6" fillId="2" borderId="54" xfId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99"/>
  <sheetViews>
    <sheetView tabSelected="1" zoomScale="80" zoomScaleNormal="80" workbookViewId="0">
      <selection sqref="A1:P2"/>
    </sheetView>
  </sheetViews>
  <sheetFormatPr defaultColWidth="9.140625" defaultRowHeight="15.75" x14ac:dyDescent="0.25"/>
  <cols>
    <col min="1" max="1" width="9.140625" style="12"/>
    <col min="2" max="2" width="44.85546875" style="12" customWidth="1"/>
    <col min="3" max="3" width="14.140625" style="12" customWidth="1"/>
    <col min="4" max="4" width="7.28515625" style="12" customWidth="1"/>
    <col min="5" max="5" width="9.42578125" style="12" customWidth="1"/>
    <col min="6" max="6" width="15.7109375" style="12" customWidth="1"/>
    <col min="7" max="7" width="19.140625" style="12" customWidth="1"/>
    <col min="8" max="14" width="15.28515625" style="12" customWidth="1"/>
    <col min="15" max="15" width="14.85546875" style="12" customWidth="1"/>
    <col min="16" max="16" width="22" style="12" customWidth="1"/>
    <col min="17" max="17" width="9.140625" style="12"/>
    <col min="18" max="18" width="12.42578125" style="12" bestFit="1" customWidth="1"/>
    <col min="19" max="19" width="11.42578125" style="12" customWidth="1"/>
    <col min="20" max="20" width="15.5703125" style="12" bestFit="1" customWidth="1"/>
    <col min="21" max="21" width="12.85546875" style="12" customWidth="1"/>
    <col min="22" max="22" width="13.85546875" style="12" customWidth="1"/>
    <col min="23" max="23" width="11.85546875" style="12" customWidth="1"/>
    <col min="24" max="16384" width="9.140625" style="12"/>
  </cols>
  <sheetData>
    <row r="1" spans="1:20" ht="23.25" customHeight="1" x14ac:dyDescent="0.25">
      <c r="A1" s="161" t="s">
        <v>97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3"/>
    </row>
    <row r="2" spans="1:20" ht="19.5" customHeight="1" thickBot="1" x14ac:dyDescent="0.3">
      <c r="A2" s="164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6"/>
    </row>
    <row r="3" spans="1:20" ht="19.5" thickBot="1" x14ac:dyDescent="0.3">
      <c r="A3" s="167" t="s">
        <v>77</v>
      </c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</row>
    <row r="4" spans="1:20" ht="19.5" thickBot="1" x14ac:dyDescent="0.3">
      <c r="A4" s="136" t="s">
        <v>6</v>
      </c>
      <c r="B4" s="136" t="s">
        <v>0</v>
      </c>
      <c r="C4" s="140" t="s">
        <v>75</v>
      </c>
      <c r="D4" s="176"/>
      <c r="E4" s="176"/>
      <c r="F4" s="176"/>
      <c r="G4" s="176"/>
      <c r="H4" s="141"/>
      <c r="I4" s="177" t="s">
        <v>76</v>
      </c>
      <c r="J4" s="178"/>
      <c r="K4" s="178"/>
      <c r="L4" s="178"/>
      <c r="M4" s="178"/>
      <c r="N4" s="179"/>
      <c r="O4" s="136" t="s">
        <v>16</v>
      </c>
      <c r="P4" s="174" t="s">
        <v>72</v>
      </c>
    </row>
    <row r="5" spans="1:20" ht="57" thickBot="1" x14ac:dyDescent="0.3">
      <c r="A5" s="137"/>
      <c r="B5" s="137"/>
      <c r="C5" s="83" t="s">
        <v>1</v>
      </c>
      <c r="D5" s="83" t="s">
        <v>31</v>
      </c>
      <c r="E5" s="83" t="s">
        <v>74</v>
      </c>
      <c r="F5" s="83" t="s">
        <v>69</v>
      </c>
      <c r="G5" s="84" t="s">
        <v>68</v>
      </c>
      <c r="H5" s="84" t="s">
        <v>2</v>
      </c>
      <c r="I5" s="49" t="s">
        <v>1</v>
      </c>
      <c r="J5" s="49" t="s">
        <v>31</v>
      </c>
      <c r="K5" s="49" t="s">
        <v>70</v>
      </c>
      <c r="L5" s="49" t="s">
        <v>67</v>
      </c>
      <c r="M5" s="50" t="s">
        <v>71</v>
      </c>
      <c r="N5" s="49" t="s">
        <v>3</v>
      </c>
      <c r="O5" s="137"/>
      <c r="P5" s="175"/>
    </row>
    <row r="6" spans="1:20" ht="34.5" customHeight="1" thickBot="1" x14ac:dyDescent="0.3">
      <c r="A6" s="167" t="s">
        <v>4</v>
      </c>
      <c r="B6" s="167"/>
      <c r="C6" s="167"/>
      <c r="D6" s="167"/>
      <c r="E6" s="167"/>
      <c r="F6" s="167"/>
      <c r="G6" s="167"/>
      <c r="H6" s="167"/>
      <c r="I6" s="168"/>
      <c r="J6" s="168"/>
      <c r="K6" s="168"/>
      <c r="L6" s="168"/>
      <c r="M6" s="168"/>
      <c r="N6" s="168"/>
      <c r="O6" s="167"/>
      <c r="P6" s="168"/>
      <c r="T6" s="12">
        <f>(P26+P37+P51)*0.05</f>
        <v>0</v>
      </c>
    </row>
    <row r="7" spans="1:20" ht="16.5" thickTop="1" x14ac:dyDescent="0.25">
      <c r="A7" s="9">
        <v>1</v>
      </c>
      <c r="B7" s="10" t="s">
        <v>5</v>
      </c>
      <c r="C7" s="4">
        <v>0</v>
      </c>
      <c r="D7" s="4">
        <v>0</v>
      </c>
      <c r="E7" s="4"/>
      <c r="F7" s="4">
        <f>C7*D7*E7</f>
        <v>0</v>
      </c>
      <c r="G7" s="19">
        <v>90</v>
      </c>
      <c r="H7" s="25">
        <f t="shared" ref="H7:H14" si="0">F7*G7</f>
        <v>0</v>
      </c>
      <c r="I7" s="38"/>
      <c r="J7" s="39"/>
      <c r="K7" s="39"/>
      <c r="L7" s="39">
        <f>I7*J7*K7</f>
        <v>0</v>
      </c>
      <c r="M7" s="40">
        <v>150</v>
      </c>
      <c r="N7" s="41">
        <f>L7*M7</f>
        <v>0</v>
      </c>
      <c r="O7" s="2">
        <v>0.75</v>
      </c>
      <c r="P7" s="30">
        <f>H7/O7+N7/O7</f>
        <v>0</v>
      </c>
      <c r="R7" s="15"/>
    </row>
    <row r="8" spans="1:20" x14ac:dyDescent="0.25">
      <c r="A8" s="9">
        <v>2</v>
      </c>
      <c r="B8" s="1" t="s">
        <v>4</v>
      </c>
      <c r="C8" s="4">
        <v>0.05</v>
      </c>
      <c r="D8" s="4">
        <v>1</v>
      </c>
      <c r="E8" s="4">
        <v>1</v>
      </c>
      <c r="F8" s="4">
        <f>C8*D8*E8</f>
        <v>0.05</v>
      </c>
      <c r="G8" s="19">
        <f>(P26+P37+P51)</f>
        <v>0</v>
      </c>
      <c r="H8" s="26">
        <f t="shared" si="0"/>
        <v>0</v>
      </c>
      <c r="I8" s="42"/>
      <c r="J8" s="23"/>
      <c r="K8" s="23"/>
      <c r="L8" s="23">
        <f>I8*J8*K8</f>
        <v>0</v>
      </c>
      <c r="M8" s="19">
        <v>150</v>
      </c>
      <c r="N8" s="26">
        <f>L8*M8</f>
        <v>0</v>
      </c>
      <c r="O8" s="2">
        <v>0.85</v>
      </c>
      <c r="P8" s="33">
        <f t="shared" ref="P8:P14" si="1">H8/O8+N8/O8</f>
        <v>0</v>
      </c>
    </row>
    <row r="9" spans="1:20" x14ac:dyDescent="0.25">
      <c r="A9" s="9">
        <v>3</v>
      </c>
      <c r="B9" s="1" t="s">
        <v>23</v>
      </c>
      <c r="C9" s="4">
        <v>1</v>
      </c>
      <c r="D9" s="4">
        <v>1</v>
      </c>
      <c r="E9" s="4">
        <v>1</v>
      </c>
      <c r="F9" s="4">
        <f>C9*D9*E9</f>
        <v>1</v>
      </c>
      <c r="G9" s="19">
        <v>1500</v>
      </c>
      <c r="H9" s="26">
        <f t="shared" si="0"/>
        <v>1500</v>
      </c>
      <c r="I9" s="42"/>
      <c r="J9" s="23"/>
      <c r="K9" s="23"/>
      <c r="L9" s="23">
        <f>I9*J9*K9</f>
        <v>0</v>
      </c>
      <c r="M9" s="19">
        <v>150</v>
      </c>
      <c r="N9" s="26">
        <f t="shared" ref="N9:N14" si="2">L9*M9</f>
        <v>0</v>
      </c>
      <c r="O9" s="2">
        <v>0.85</v>
      </c>
      <c r="P9" s="31">
        <f t="shared" si="1"/>
        <v>1764.7058823529412</v>
      </c>
    </row>
    <row r="10" spans="1:20" x14ac:dyDescent="0.25">
      <c r="A10" s="9">
        <v>4</v>
      </c>
      <c r="B10" s="1" t="s">
        <v>29</v>
      </c>
      <c r="C10" s="4">
        <v>0.05</v>
      </c>
      <c r="D10" s="4">
        <v>1</v>
      </c>
      <c r="E10" s="4">
        <v>1</v>
      </c>
      <c r="F10" s="4">
        <f t="shared" ref="F10:F13" si="3">C10*D10*E10</f>
        <v>0.05</v>
      </c>
      <c r="G10" s="19">
        <f>P37</f>
        <v>0</v>
      </c>
      <c r="H10" s="26">
        <f t="shared" si="0"/>
        <v>0</v>
      </c>
      <c r="I10" s="42"/>
      <c r="J10" s="23"/>
      <c r="K10" s="23"/>
      <c r="L10" s="23">
        <f t="shared" ref="L10:L11" si="4">I10*J10*K10</f>
        <v>0</v>
      </c>
      <c r="M10" s="19">
        <v>150</v>
      </c>
      <c r="N10" s="26">
        <f t="shared" si="2"/>
        <v>0</v>
      </c>
      <c r="O10" s="2">
        <v>0.85</v>
      </c>
      <c r="P10" s="31">
        <f t="shared" si="1"/>
        <v>0</v>
      </c>
    </row>
    <row r="11" spans="1:20" x14ac:dyDescent="0.25">
      <c r="A11" s="9">
        <v>5</v>
      </c>
      <c r="B11" s="1" t="s">
        <v>30</v>
      </c>
      <c r="C11" s="4">
        <v>0.05</v>
      </c>
      <c r="D11" s="4">
        <v>1</v>
      </c>
      <c r="E11" s="4">
        <v>1</v>
      </c>
      <c r="F11" s="4">
        <f t="shared" si="3"/>
        <v>0.05</v>
      </c>
      <c r="G11" s="19">
        <f>P51</f>
        <v>0</v>
      </c>
      <c r="H11" s="26">
        <f t="shared" si="0"/>
        <v>0</v>
      </c>
      <c r="I11" s="42"/>
      <c r="J11" s="23"/>
      <c r="K11" s="23"/>
      <c r="L11" s="23">
        <f t="shared" si="4"/>
        <v>0</v>
      </c>
      <c r="M11" s="19">
        <v>150</v>
      </c>
      <c r="N11" s="26">
        <f t="shared" si="2"/>
        <v>0</v>
      </c>
      <c r="O11" s="2">
        <v>0.9</v>
      </c>
      <c r="P11" s="31">
        <f t="shared" si="1"/>
        <v>0</v>
      </c>
    </row>
    <row r="12" spans="1:20" x14ac:dyDescent="0.25">
      <c r="A12" s="9">
        <v>6</v>
      </c>
      <c r="B12" s="1" t="s">
        <v>15</v>
      </c>
      <c r="C12" s="4"/>
      <c r="D12" s="4"/>
      <c r="E12" s="4"/>
      <c r="F12" s="4">
        <f t="shared" si="3"/>
        <v>0</v>
      </c>
      <c r="G12" s="19">
        <v>80</v>
      </c>
      <c r="H12" s="26">
        <f t="shared" si="0"/>
        <v>0</v>
      </c>
      <c r="I12" s="42"/>
      <c r="J12" s="23"/>
      <c r="K12" s="23"/>
      <c r="L12" s="23">
        <f t="shared" ref="L12:L14" si="5">I12*J12*K12</f>
        <v>0</v>
      </c>
      <c r="M12" s="19">
        <v>150</v>
      </c>
      <c r="N12" s="26">
        <f t="shared" si="2"/>
        <v>0</v>
      </c>
      <c r="O12" s="2">
        <v>0.85</v>
      </c>
      <c r="P12" s="31">
        <f t="shared" si="1"/>
        <v>0</v>
      </c>
    </row>
    <row r="13" spans="1:20" x14ac:dyDescent="0.25">
      <c r="A13" s="9">
        <v>7</v>
      </c>
      <c r="B13" s="1" t="s">
        <v>34</v>
      </c>
      <c r="C13" s="4"/>
      <c r="D13" s="4"/>
      <c r="E13" s="4"/>
      <c r="F13" s="4">
        <f t="shared" si="3"/>
        <v>0</v>
      </c>
      <c r="G13" s="19">
        <v>92</v>
      </c>
      <c r="H13" s="26">
        <f t="shared" si="0"/>
        <v>0</v>
      </c>
      <c r="I13" s="42"/>
      <c r="J13" s="23"/>
      <c r="K13" s="23"/>
      <c r="L13" s="23">
        <f t="shared" si="5"/>
        <v>0</v>
      </c>
      <c r="M13" s="19">
        <v>185</v>
      </c>
      <c r="N13" s="26">
        <f t="shared" si="2"/>
        <v>0</v>
      </c>
      <c r="O13" s="2">
        <v>0.85</v>
      </c>
      <c r="P13" s="31">
        <f t="shared" si="1"/>
        <v>0</v>
      </c>
    </row>
    <row r="14" spans="1:20" x14ac:dyDescent="0.25">
      <c r="A14" s="9">
        <v>8</v>
      </c>
      <c r="B14" s="1" t="s">
        <v>83</v>
      </c>
      <c r="C14" s="4">
        <v>0</v>
      </c>
      <c r="D14" s="4">
        <v>4</v>
      </c>
      <c r="E14" s="4">
        <v>1</v>
      </c>
      <c r="F14" s="4">
        <f>C14*D14*E14</f>
        <v>0</v>
      </c>
      <c r="G14" s="19">
        <v>250</v>
      </c>
      <c r="H14" s="26">
        <f t="shared" si="0"/>
        <v>0</v>
      </c>
      <c r="I14" s="42"/>
      <c r="J14" s="23"/>
      <c r="K14" s="23"/>
      <c r="L14" s="23">
        <f t="shared" si="5"/>
        <v>0</v>
      </c>
      <c r="M14" s="19">
        <v>150</v>
      </c>
      <c r="N14" s="26">
        <f t="shared" si="2"/>
        <v>0</v>
      </c>
      <c r="O14" s="2">
        <v>1</v>
      </c>
      <c r="P14" s="31">
        <f t="shared" si="1"/>
        <v>0</v>
      </c>
    </row>
    <row r="15" spans="1:20" s="7" customFormat="1" ht="15.75" customHeight="1" thickBot="1" x14ac:dyDescent="0.3">
      <c r="A15" s="133" t="s">
        <v>8</v>
      </c>
      <c r="B15" s="134"/>
      <c r="C15" s="134"/>
      <c r="D15" s="134"/>
      <c r="E15" s="135"/>
      <c r="F15" s="3">
        <f>SUM(F7:F14)</f>
        <v>1.1500000000000001</v>
      </c>
      <c r="G15" s="3"/>
      <c r="H15" s="27">
        <f>SUM(H7:H14)</f>
        <v>1500</v>
      </c>
      <c r="I15" s="180"/>
      <c r="J15" s="181"/>
      <c r="K15" s="182"/>
      <c r="L15" s="43">
        <f>SUM(L7:L14)</f>
        <v>0</v>
      </c>
      <c r="M15" s="44"/>
      <c r="N15" s="45">
        <f>SUM(N7:N14)</f>
        <v>0</v>
      </c>
      <c r="O15" s="29"/>
      <c r="P15" s="32">
        <f>SUM(P7:P14)</f>
        <v>1764.7058823529412</v>
      </c>
    </row>
    <row r="16" spans="1:20" ht="16.5" thickTop="1" x14ac:dyDescent="0.25">
      <c r="A16" s="191"/>
      <c r="B16" s="191"/>
      <c r="C16" s="191"/>
      <c r="D16" s="191"/>
      <c r="E16" s="191"/>
      <c r="F16" s="191"/>
      <c r="G16" s="191"/>
      <c r="H16" s="191"/>
      <c r="I16" s="192"/>
      <c r="J16" s="192"/>
      <c r="K16" s="192"/>
      <c r="L16" s="192"/>
      <c r="M16" s="192"/>
      <c r="N16" s="192"/>
      <c r="O16" s="191"/>
      <c r="P16" s="192"/>
    </row>
    <row r="17" spans="1:23" ht="16.5" thickBot="1" x14ac:dyDescent="0.3">
      <c r="A17" s="133" t="s">
        <v>9</v>
      </c>
      <c r="B17" s="134"/>
      <c r="C17" s="134"/>
      <c r="D17" s="134"/>
      <c r="E17" s="134"/>
      <c r="F17" s="134"/>
      <c r="G17" s="134"/>
      <c r="H17" s="134"/>
      <c r="I17" s="131"/>
      <c r="J17" s="131"/>
      <c r="K17" s="131"/>
      <c r="L17" s="131"/>
      <c r="M17" s="131"/>
      <c r="N17" s="131"/>
      <c r="O17" s="134"/>
      <c r="P17" s="132"/>
    </row>
    <row r="18" spans="1:23" ht="16.5" thickTop="1" x14ac:dyDescent="0.25">
      <c r="A18" s="11">
        <v>1</v>
      </c>
      <c r="B18" s="16" t="s">
        <v>110</v>
      </c>
      <c r="C18" s="2"/>
      <c r="D18" s="2"/>
      <c r="E18" s="2"/>
      <c r="F18" s="2">
        <f t="shared" ref="F18:F25" si="6">C18*D18*E18</f>
        <v>0</v>
      </c>
      <c r="G18" s="20">
        <v>110</v>
      </c>
      <c r="H18" s="46">
        <f t="shared" ref="H18:H25" si="7">F18*G18</f>
        <v>0</v>
      </c>
      <c r="I18" s="38"/>
      <c r="J18" s="39"/>
      <c r="K18" s="39"/>
      <c r="L18" s="39">
        <f>I18*J18*K18</f>
        <v>0</v>
      </c>
      <c r="M18" s="89">
        <v>196.44</v>
      </c>
      <c r="N18" s="41">
        <f>L18*M18</f>
        <v>0</v>
      </c>
      <c r="O18" s="2">
        <v>0.8</v>
      </c>
      <c r="P18" s="30">
        <f>H18/O18+N18/O18</f>
        <v>0</v>
      </c>
    </row>
    <row r="19" spans="1:23" x14ac:dyDescent="0.25">
      <c r="A19" s="11">
        <v>2</v>
      </c>
      <c r="B19" s="16" t="s">
        <v>111</v>
      </c>
      <c r="C19" s="2"/>
      <c r="D19" s="2"/>
      <c r="E19" s="2"/>
      <c r="F19" s="2">
        <f t="shared" si="6"/>
        <v>0</v>
      </c>
      <c r="G19" s="20">
        <v>110</v>
      </c>
      <c r="H19" s="46">
        <f t="shared" si="7"/>
        <v>0</v>
      </c>
      <c r="I19" s="48"/>
      <c r="J19" s="24"/>
      <c r="K19" s="24"/>
      <c r="L19" s="24">
        <f t="shared" ref="L19:L25" si="8">I19*J19*K19</f>
        <v>0</v>
      </c>
      <c r="M19" s="20">
        <v>196.44</v>
      </c>
      <c r="N19" s="28">
        <f t="shared" ref="N19:N25" si="9">L19*M19</f>
        <v>0</v>
      </c>
      <c r="O19" s="2">
        <v>0.8</v>
      </c>
      <c r="P19" s="33">
        <f t="shared" ref="P19:P25" si="10">H19/O19+N19/O19</f>
        <v>0</v>
      </c>
      <c r="U19" s="18"/>
    </row>
    <row r="20" spans="1:23" x14ac:dyDescent="0.25">
      <c r="A20" s="11">
        <v>3</v>
      </c>
      <c r="B20" s="6"/>
      <c r="C20" s="2"/>
      <c r="D20" s="2"/>
      <c r="E20" s="2"/>
      <c r="F20" s="2">
        <f t="shared" si="6"/>
        <v>0</v>
      </c>
      <c r="G20" s="20">
        <v>110</v>
      </c>
      <c r="H20" s="46">
        <f t="shared" si="7"/>
        <v>0</v>
      </c>
      <c r="I20" s="48"/>
      <c r="J20" s="24"/>
      <c r="K20" s="24"/>
      <c r="L20" s="24">
        <f t="shared" si="8"/>
        <v>0</v>
      </c>
      <c r="M20" s="20">
        <v>196.44</v>
      </c>
      <c r="N20" s="28">
        <f t="shared" si="9"/>
        <v>0</v>
      </c>
      <c r="O20" s="2">
        <v>0.8</v>
      </c>
      <c r="P20" s="33">
        <f t="shared" si="10"/>
        <v>0</v>
      </c>
      <c r="R20" s="17"/>
      <c r="U20" s="18"/>
    </row>
    <row r="21" spans="1:23" x14ac:dyDescent="0.25">
      <c r="A21" s="11">
        <v>4</v>
      </c>
      <c r="B21" s="6"/>
      <c r="C21" s="2"/>
      <c r="D21" s="2"/>
      <c r="E21" s="2"/>
      <c r="F21" s="2">
        <f t="shared" si="6"/>
        <v>0</v>
      </c>
      <c r="G21" s="20">
        <v>110</v>
      </c>
      <c r="H21" s="46">
        <f t="shared" si="7"/>
        <v>0</v>
      </c>
      <c r="I21" s="48"/>
      <c r="J21" s="24"/>
      <c r="K21" s="24"/>
      <c r="L21" s="24">
        <f t="shared" si="8"/>
        <v>0</v>
      </c>
      <c r="M21" s="20">
        <v>196.44</v>
      </c>
      <c r="N21" s="28">
        <f t="shared" si="9"/>
        <v>0</v>
      </c>
      <c r="O21" s="2">
        <v>0.8</v>
      </c>
      <c r="P21" s="33">
        <f t="shared" si="10"/>
        <v>0</v>
      </c>
      <c r="U21" s="18"/>
    </row>
    <row r="22" spans="1:23" x14ac:dyDescent="0.25">
      <c r="A22" s="11">
        <v>5</v>
      </c>
      <c r="B22" s="6"/>
      <c r="C22" s="2"/>
      <c r="D22" s="2"/>
      <c r="E22" s="2"/>
      <c r="F22" s="2">
        <f t="shared" si="6"/>
        <v>0</v>
      </c>
      <c r="G22" s="20">
        <v>110</v>
      </c>
      <c r="H22" s="46">
        <f t="shared" si="7"/>
        <v>0</v>
      </c>
      <c r="I22" s="48"/>
      <c r="J22" s="24"/>
      <c r="K22" s="24"/>
      <c r="L22" s="24">
        <f t="shared" si="8"/>
        <v>0</v>
      </c>
      <c r="M22" s="20">
        <v>196.44</v>
      </c>
      <c r="N22" s="28">
        <f t="shared" si="9"/>
        <v>0</v>
      </c>
      <c r="O22" s="2">
        <v>0.8</v>
      </c>
      <c r="P22" s="33">
        <f t="shared" si="10"/>
        <v>0</v>
      </c>
    </row>
    <row r="23" spans="1:23" x14ac:dyDescent="0.25">
      <c r="A23" s="11">
        <v>6</v>
      </c>
      <c r="B23" s="6"/>
      <c r="C23" s="2"/>
      <c r="D23" s="2"/>
      <c r="E23" s="2"/>
      <c r="F23" s="2">
        <f t="shared" si="6"/>
        <v>0</v>
      </c>
      <c r="G23" s="20">
        <v>110</v>
      </c>
      <c r="H23" s="46">
        <f t="shared" si="7"/>
        <v>0</v>
      </c>
      <c r="I23" s="48"/>
      <c r="J23" s="24"/>
      <c r="K23" s="24"/>
      <c r="L23" s="24">
        <f t="shared" si="8"/>
        <v>0</v>
      </c>
      <c r="M23" s="20">
        <v>196.44</v>
      </c>
      <c r="N23" s="28">
        <f t="shared" si="9"/>
        <v>0</v>
      </c>
      <c r="O23" s="2">
        <v>0.8</v>
      </c>
      <c r="P23" s="33">
        <f t="shared" si="10"/>
        <v>0</v>
      </c>
    </row>
    <row r="24" spans="1:23" x14ac:dyDescent="0.25">
      <c r="A24" s="11">
        <v>7</v>
      </c>
      <c r="B24" s="6"/>
      <c r="C24" s="2"/>
      <c r="D24" s="2"/>
      <c r="E24" s="2"/>
      <c r="F24" s="2">
        <f t="shared" si="6"/>
        <v>0</v>
      </c>
      <c r="G24" s="20">
        <v>110</v>
      </c>
      <c r="H24" s="46">
        <f t="shared" si="7"/>
        <v>0</v>
      </c>
      <c r="I24" s="48"/>
      <c r="J24" s="24"/>
      <c r="K24" s="24"/>
      <c r="L24" s="24">
        <f t="shared" si="8"/>
        <v>0</v>
      </c>
      <c r="M24" s="20">
        <v>196.44</v>
      </c>
      <c r="N24" s="28">
        <f t="shared" si="9"/>
        <v>0</v>
      </c>
      <c r="O24" s="2">
        <v>0.8</v>
      </c>
      <c r="P24" s="33">
        <f t="shared" si="10"/>
        <v>0</v>
      </c>
    </row>
    <row r="25" spans="1:23" x14ac:dyDescent="0.25">
      <c r="A25" s="11">
        <v>8</v>
      </c>
      <c r="B25" s="6"/>
      <c r="C25" s="2"/>
      <c r="D25" s="2"/>
      <c r="E25" s="2"/>
      <c r="F25" s="2">
        <f t="shared" si="6"/>
        <v>0</v>
      </c>
      <c r="G25" s="20">
        <v>110</v>
      </c>
      <c r="H25" s="46">
        <f t="shared" si="7"/>
        <v>0</v>
      </c>
      <c r="I25" s="48"/>
      <c r="J25" s="24"/>
      <c r="K25" s="24"/>
      <c r="L25" s="24">
        <f t="shared" si="8"/>
        <v>0</v>
      </c>
      <c r="M25" s="20">
        <v>196.44</v>
      </c>
      <c r="N25" s="28">
        <f t="shared" si="9"/>
        <v>0</v>
      </c>
      <c r="O25" s="2">
        <v>0.8</v>
      </c>
      <c r="P25" s="33">
        <f t="shared" si="10"/>
        <v>0</v>
      </c>
    </row>
    <row r="26" spans="1:23" ht="15.75" customHeight="1" thickBot="1" x14ac:dyDescent="0.3">
      <c r="A26" s="133" t="s">
        <v>22</v>
      </c>
      <c r="B26" s="134"/>
      <c r="C26" s="134"/>
      <c r="D26" s="134"/>
      <c r="E26" s="135"/>
      <c r="F26" s="3">
        <f>SUM(F18:F25)</f>
        <v>0</v>
      </c>
      <c r="G26" s="193"/>
      <c r="H26" s="47">
        <f>SUM(H18:H25)</f>
        <v>0</v>
      </c>
      <c r="I26" s="183"/>
      <c r="J26" s="184"/>
      <c r="K26" s="185"/>
      <c r="L26" s="86">
        <f>SUM(L18:L25)</f>
        <v>0</v>
      </c>
      <c r="M26" s="189"/>
      <c r="N26" s="87">
        <f>SUM(N18:N25)</f>
        <v>0</v>
      </c>
      <c r="O26" s="195"/>
      <c r="P26" s="34">
        <f>SUM(P18:P25)</f>
        <v>0</v>
      </c>
      <c r="S26" s="8"/>
      <c r="T26" s="8"/>
    </row>
    <row r="27" spans="1:23" s="7" customFormat="1" ht="15.75" customHeight="1" thickBot="1" x14ac:dyDescent="0.3">
      <c r="A27" s="130" t="s">
        <v>10</v>
      </c>
      <c r="B27" s="131"/>
      <c r="C27" s="131"/>
      <c r="D27" s="131"/>
      <c r="E27" s="132"/>
      <c r="F27" s="102">
        <f>F15+F26</f>
        <v>1.1500000000000001</v>
      </c>
      <c r="G27" s="194"/>
      <c r="H27" s="106">
        <f>H15+H26</f>
        <v>1500</v>
      </c>
      <c r="I27" s="186"/>
      <c r="J27" s="187"/>
      <c r="K27" s="188"/>
      <c r="L27" s="107">
        <f>L15+L26</f>
        <v>0</v>
      </c>
      <c r="M27" s="190"/>
      <c r="N27" s="108">
        <f>N15+N26</f>
        <v>0</v>
      </c>
      <c r="O27" s="196"/>
      <c r="P27" s="109">
        <f>P15+P26</f>
        <v>1764.7058823529412</v>
      </c>
      <c r="R27" s="104">
        <f>(N27+H27)/P27</f>
        <v>0.85</v>
      </c>
      <c r="S27" s="8"/>
      <c r="T27" s="8"/>
    </row>
    <row r="28" spans="1:23" s="7" customFormat="1" ht="34.5" customHeight="1" thickBot="1" x14ac:dyDescent="0.3">
      <c r="A28" s="150" t="s">
        <v>20</v>
      </c>
      <c r="B28" s="151"/>
      <c r="C28" s="151"/>
      <c r="D28" s="151"/>
      <c r="E28" s="151"/>
      <c r="F28" s="151"/>
      <c r="G28" s="151"/>
      <c r="H28" s="151"/>
      <c r="I28" s="151"/>
      <c r="J28" s="151"/>
      <c r="K28" s="151"/>
      <c r="L28" s="151"/>
      <c r="M28" s="151"/>
      <c r="N28" s="151"/>
      <c r="O28" s="151"/>
      <c r="P28" s="171"/>
      <c r="S28" s="8"/>
      <c r="T28" s="8"/>
      <c r="U28" s="8"/>
      <c r="V28" s="8"/>
      <c r="W28" s="8"/>
    </row>
    <row r="29" spans="1:23" s="7" customFormat="1" ht="19.5" thickBot="1" x14ac:dyDescent="0.3">
      <c r="A29" s="85" t="s">
        <v>6</v>
      </c>
      <c r="B29" s="85" t="s">
        <v>0</v>
      </c>
      <c r="C29" s="140" t="s">
        <v>24</v>
      </c>
      <c r="D29" s="141"/>
      <c r="E29" s="140" t="s">
        <v>31</v>
      </c>
      <c r="F29" s="141"/>
      <c r="G29" s="138" t="s">
        <v>28</v>
      </c>
      <c r="H29" s="139"/>
      <c r="I29" s="138" t="s">
        <v>25</v>
      </c>
      <c r="J29" s="139"/>
      <c r="K29" s="138" t="s">
        <v>26</v>
      </c>
      <c r="L29" s="139"/>
      <c r="M29" s="138" t="s">
        <v>2</v>
      </c>
      <c r="N29" s="139"/>
      <c r="O29" s="83" t="s">
        <v>16</v>
      </c>
      <c r="P29" s="51" t="s">
        <v>3</v>
      </c>
      <c r="S29" s="8"/>
      <c r="T29" s="8"/>
      <c r="U29" s="8"/>
      <c r="V29" s="8"/>
      <c r="W29" s="8"/>
    </row>
    <row r="30" spans="1:23" s="7" customFormat="1" ht="16.5" thickTop="1" x14ac:dyDescent="0.25">
      <c r="A30" s="4">
        <v>1</v>
      </c>
      <c r="B30" s="5" t="s">
        <v>117</v>
      </c>
      <c r="C30" s="142">
        <v>1</v>
      </c>
      <c r="D30" s="143"/>
      <c r="E30" s="142">
        <v>1</v>
      </c>
      <c r="F30" s="143"/>
      <c r="G30" s="142">
        <v>1</v>
      </c>
      <c r="H30" s="143"/>
      <c r="I30" s="157">
        <f>C30*E30*G30</f>
        <v>1</v>
      </c>
      <c r="J30" s="158"/>
      <c r="K30" s="172"/>
      <c r="L30" s="173"/>
      <c r="M30" s="169">
        <f>K30*I30</f>
        <v>0</v>
      </c>
      <c r="N30" s="170"/>
      <c r="O30" s="2">
        <v>0.8</v>
      </c>
      <c r="P30" s="30">
        <f>M30/O30</f>
        <v>0</v>
      </c>
      <c r="S30" s="8"/>
      <c r="T30" s="8"/>
      <c r="U30" s="8"/>
      <c r="V30" s="8"/>
      <c r="W30" s="8"/>
    </row>
    <row r="31" spans="1:23" s="7" customFormat="1" x14ac:dyDescent="0.25">
      <c r="A31" s="2">
        <v>2</v>
      </c>
      <c r="B31" s="6" t="s">
        <v>109</v>
      </c>
      <c r="C31" s="125"/>
      <c r="D31" s="126"/>
      <c r="E31" s="125"/>
      <c r="F31" s="126"/>
      <c r="G31" s="125"/>
      <c r="H31" s="126"/>
      <c r="I31" s="125">
        <f t="shared" ref="I31:I36" si="11">C31*E31*G31</f>
        <v>0</v>
      </c>
      <c r="J31" s="126"/>
      <c r="K31" s="144"/>
      <c r="L31" s="145"/>
      <c r="M31" s="146">
        <f>K31*I31</f>
        <v>0</v>
      </c>
      <c r="N31" s="147"/>
      <c r="O31" s="2">
        <v>0.85</v>
      </c>
      <c r="P31" s="31">
        <f t="shared" ref="P31:P36" si="12">M31/O31</f>
        <v>0</v>
      </c>
      <c r="S31" s="8"/>
      <c r="T31" s="8"/>
      <c r="U31" s="8"/>
      <c r="V31" s="8"/>
      <c r="W31" s="8"/>
    </row>
    <row r="32" spans="1:23" s="7" customFormat="1" x14ac:dyDescent="0.25">
      <c r="A32" s="2">
        <v>3</v>
      </c>
      <c r="B32" s="6" t="s">
        <v>65</v>
      </c>
      <c r="C32" s="125"/>
      <c r="D32" s="126"/>
      <c r="E32" s="125"/>
      <c r="F32" s="126"/>
      <c r="G32" s="125"/>
      <c r="H32" s="126"/>
      <c r="I32" s="125">
        <f t="shared" si="11"/>
        <v>0</v>
      </c>
      <c r="J32" s="126"/>
      <c r="K32" s="144"/>
      <c r="L32" s="145"/>
      <c r="M32" s="146">
        <f t="shared" ref="M32:M36" si="13">K32*I32</f>
        <v>0</v>
      </c>
      <c r="N32" s="147"/>
      <c r="O32" s="2">
        <v>0.85</v>
      </c>
      <c r="P32" s="31">
        <f t="shared" si="12"/>
        <v>0</v>
      </c>
      <c r="S32" s="8"/>
      <c r="T32" s="8"/>
      <c r="U32" s="8"/>
      <c r="V32" s="8"/>
      <c r="W32" s="8"/>
    </row>
    <row r="33" spans="1:23" s="7" customFormat="1" x14ac:dyDescent="0.25">
      <c r="A33" s="2">
        <v>4</v>
      </c>
      <c r="B33" s="6" t="s">
        <v>52</v>
      </c>
      <c r="C33" s="125"/>
      <c r="D33" s="126"/>
      <c r="E33" s="125"/>
      <c r="F33" s="126"/>
      <c r="G33" s="125"/>
      <c r="H33" s="126"/>
      <c r="I33" s="125">
        <f t="shared" si="11"/>
        <v>0</v>
      </c>
      <c r="J33" s="126"/>
      <c r="K33" s="144"/>
      <c r="L33" s="145"/>
      <c r="M33" s="146">
        <f t="shared" si="13"/>
        <v>0</v>
      </c>
      <c r="N33" s="147"/>
      <c r="O33" s="2">
        <v>0.85</v>
      </c>
      <c r="P33" s="31">
        <f t="shared" si="12"/>
        <v>0</v>
      </c>
      <c r="S33" s="8"/>
      <c r="T33" s="8"/>
      <c r="U33" s="8"/>
      <c r="V33" s="8"/>
      <c r="W33" s="8"/>
    </row>
    <row r="34" spans="1:23" s="7" customFormat="1" x14ac:dyDescent="0.25">
      <c r="A34" s="2">
        <v>5</v>
      </c>
      <c r="B34" s="6" t="s">
        <v>60</v>
      </c>
      <c r="C34" s="125"/>
      <c r="D34" s="126"/>
      <c r="E34" s="125"/>
      <c r="F34" s="126"/>
      <c r="G34" s="125"/>
      <c r="H34" s="126"/>
      <c r="I34" s="125">
        <f t="shared" si="11"/>
        <v>0</v>
      </c>
      <c r="J34" s="126"/>
      <c r="K34" s="144"/>
      <c r="L34" s="145"/>
      <c r="M34" s="146">
        <f t="shared" si="13"/>
        <v>0</v>
      </c>
      <c r="N34" s="147"/>
      <c r="O34" s="2">
        <v>0.85</v>
      </c>
      <c r="P34" s="31">
        <f t="shared" si="12"/>
        <v>0</v>
      </c>
      <c r="S34" s="8"/>
      <c r="T34" s="8"/>
      <c r="U34" s="8"/>
      <c r="V34" s="8"/>
      <c r="W34" s="8"/>
    </row>
    <row r="35" spans="1:23" s="7" customFormat="1" x14ac:dyDescent="0.25">
      <c r="A35" s="2"/>
      <c r="B35" s="6"/>
      <c r="C35" s="125"/>
      <c r="D35" s="126"/>
      <c r="E35" s="125"/>
      <c r="F35" s="126"/>
      <c r="G35" s="125"/>
      <c r="H35" s="126"/>
      <c r="I35" s="125">
        <f t="shared" si="11"/>
        <v>0</v>
      </c>
      <c r="J35" s="126"/>
      <c r="K35" s="144"/>
      <c r="L35" s="145"/>
      <c r="M35" s="146">
        <f t="shared" si="13"/>
        <v>0</v>
      </c>
      <c r="N35" s="147"/>
      <c r="O35" s="2">
        <v>0.85</v>
      </c>
      <c r="P35" s="31">
        <f t="shared" si="12"/>
        <v>0</v>
      </c>
      <c r="S35" s="8"/>
      <c r="T35" s="8"/>
      <c r="U35" s="8"/>
      <c r="V35" s="8"/>
      <c r="W35" s="8"/>
    </row>
    <row r="36" spans="1:23" s="7" customFormat="1" ht="16.5" thickBot="1" x14ac:dyDescent="0.3">
      <c r="A36" s="2"/>
      <c r="B36" s="6"/>
      <c r="C36" s="125"/>
      <c r="D36" s="126"/>
      <c r="E36" s="125"/>
      <c r="F36" s="126"/>
      <c r="G36" s="125"/>
      <c r="H36" s="126"/>
      <c r="I36" s="153">
        <f t="shared" si="11"/>
        <v>0</v>
      </c>
      <c r="J36" s="154"/>
      <c r="K36" s="144"/>
      <c r="L36" s="145"/>
      <c r="M36" s="148">
        <f t="shared" si="13"/>
        <v>0</v>
      </c>
      <c r="N36" s="149"/>
      <c r="O36" s="2">
        <v>0.85</v>
      </c>
      <c r="P36" s="31">
        <f t="shared" si="12"/>
        <v>0</v>
      </c>
      <c r="S36" s="8"/>
      <c r="T36" s="8"/>
      <c r="U36" s="8"/>
      <c r="V36" s="8"/>
      <c r="W36" s="8"/>
    </row>
    <row r="37" spans="1:23" s="7" customFormat="1" ht="15.75" customHeight="1" thickBot="1" x14ac:dyDescent="0.3">
      <c r="A37" s="155" t="s">
        <v>21</v>
      </c>
      <c r="B37" s="156"/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48">
        <f>SUM(M30:N36)</f>
        <v>0</v>
      </c>
      <c r="N37" s="149"/>
      <c r="O37" s="103"/>
      <c r="P37" s="32">
        <f>SUM(P30:P36)</f>
        <v>0</v>
      </c>
      <c r="R37" s="104" t="e">
        <f>M37/P37</f>
        <v>#DIV/0!</v>
      </c>
      <c r="S37" s="8"/>
      <c r="T37" s="8"/>
      <c r="U37" s="8"/>
      <c r="V37" s="8"/>
      <c r="W37" s="8"/>
    </row>
    <row r="38" spans="1:23" ht="34.5" customHeight="1" thickBot="1" x14ac:dyDescent="0.3">
      <c r="A38" s="150" t="s">
        <v>14</v>
      </c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2"/>
      <c r="S38" s="8"/>
      <c r="T38" s="8"/>
      <c r="U38" s="8"/>
      <c r="V38" s="8"/>
      <c r="W38" s="8"/>
    </row>
    <row r="39" spans="1:23" ht="19.5" thickBot="1" x14ac:dyDescent="0.3">
      <c r="A39" s="85" t="s">
        <v>6</v>
      </c>
      <c r="B39" s="85" t="s">
        <v>27</v>
      </c>
      <c r="C39" s="140" t="s">
        <v>24</v>
      </c>
      <c r="D39" s="141"/>
      <c r="E39" s="140" t="s">
        <v>73</v>
      </c>
      <c r="F39" s="141"/>
      <c r="G39" s="138" t="s">
        <v>28</v>
      </c>
      <c r="H39" s="139"/>
      <c r="I39" s="138" t="s">
        <v>25</v>
      </c>
      <c r="J39" s="139"/>
      <c r="K39" s="138" t="s">
        <v>26</v>
      </c>
      <c r="L39" s="139"/>
      <c r="M39" s="138" t="s">
        <v>2</v>
      </c>
      <c r="N39" s="139"/>
      <c r="O39" s="83" t="s">
        <v>16</v>
      </c>
      <c r="P39" s="51" t="s">
        <v>3</v>
      </c>
      <c r="S39" s="8"/>
      <c r="T39" s="8"/>
      <c r="U39" s="8"/>
      <c r="V39" s="8"/>
      <c r="W39" s="8"/>
    </row>
    <row r="40" spans="1:23" ht="16.5" thickTop="1" x14ac:dyDescent="0.25">
      <c r="A40" s="4">
        <v>1</v>
      </c>
      <c r="B40" s="5" t="s">
        <v>113</v>
      </c>
      <c r="C40" s="157"/>
      <c r="D40" s="158"/>
      <c r="E40" s="157"/>
      <c r="F40" s="158"/>
      <c r="G40" s="157"/>
      <c r="H40" s="158"/>
      <c r="I40" s="157">
        <f>G40*E40*C40</f>
        <v>0</v>
      </c>
      <c r="J40" s="158"/>
      <c r="K40" s="159"/>
      <c r="L40" s="160"/>
      <c r="M40" s="169">
        <f>K40*I40</f>
        <v>0</v>
      </c>
      <c r="N40" s="170"/>
      <c r="O40" s="2">
        <v>0.88</v>
      </c>
      <c r="P40" s="35">
        <f>M40/O40</f>
        <v>0</v>
      </c>
      <c r="S40" s="8"/>
      <c r="T40" s="8"/>
      <c r="U40" s="8"/>
      <c r="V40" s="8"/>
      <c r="W40" s="8"/>
    </row>
    <row r="41" spans="1:23" s="8" customFormat="1" x14ac:dyDescent="0.25">
      <c r="A41" s="4">
        <v>2</v>
      </c>
      <c r="B41" s="6" t="s">
        <v>114</v>
      </c>
      <c r="C41" s="125"/>
      <c r="D41" s="126"/>
      <c r="E41" s="125"/>
      <c r="F41" s="126"/>
      <c r="G41" s="125"/>
      <c r="H41" s="126"/>
      <c r="I41" s="125">
        <f t="shared" ref="I41:I48" si="14">G41*E41*C41</f>
        <v>0</v>
      </c>
      <c r="J41" s="126"/>
      <c r="K41" s="144"/>
      <c r="L41" s="145"/>
      <c r="M41" s="146">
        <f t="shared" ref="M41:M46" si="15">K41*I41</f>
        <v>0</v>
      </c>
      <c r="N41" s="147"/>
      <c r="O41" s="2">
        <v>0.87</v>
      </c>
      <c r="P41" s="36">
        <f t="shared" ref="P41:P50" si="16">M41/O41</f>
        <v>0</v>
      </c>
    </row>
    <row r="42" spans="1:23" s="8" customFormat="1" x14ac:dyDescent="0.25">
      <c r="A42" s="4">
        <v>3</v>
      </c>
      <c r="B42" s="6" t="s">
        <v>115</v>
      </c>
      <c r="C42" s="125"/>
      <c r="D42" s="126"/>
      <c r="E42" s="125"/>
      <c r="F42" s="126"/>
      <c r="G42" s="125"/>
      <c r="H42" s="126"/>
      <c r="I42" s="125">
        <f t="shared" si="14"/>
        <v>0</v>
      </c>
      <c r="J42" s="126"/>
      <c r="K42" s="144"/>
      <c r="L42" s="145"/>
      <c r="M42" s="146">
        <f t="shared" si="15"/>
        <v>0</v>
      </c>
      <c r="N42" s="147"/>
      <c r="O42" s="2">
        <v>0.85</v>
      </c>
      <c r="P42" s="36">
        <f t="shared" si="16"/>
        <v>0</v>
      </c>
    </row>
    <row r="43" spans="1:23" s="8" customFormat="1" x14ac:dyDescent="0.25">
      <c r="A43" s="4">
        <v>4</v>
      </c>
      <c r="B43" s="6" t="s">
        <v>116</v>
      </c>
      <c r="C43" s="125"/>
      <c r="D43" s="126"/>
      <c r="E43" s="125"/>
      <c r="F43" s="126"/>
      <c r="G43" s="125"/>
      <c r="H43" s="126"/>
      <c r="I43" s="125">
        <f t="shared" si="14"/>
        <v>0</v>
      </c>
      <c r="J43" s="126"/>
      <c r="K43" s="144"/>
      <c r="L43" s="145"/>
      <c r="M43" s="146">
        <f t="shared" si="15"/>
        <v>0</v>
      </c>
      <c r="N43" s="147"/>
      <c r="O43" s="2">
        <v>0.85</v>
      </c>
      <c r="P43" s="36">
        <f t="shared" si="16"/>
        <v>0</v>
      </c>
    </row>
    <row r="44" spans="1:23" s="8" customFormat="1" x14ac:dyDescent="0.25">
      <c r="A44" s="4">
        <v>5</v>
      </c>
      <c r="B44" s="6"/>
      <c r="C44" s="125"/>
      <c r="D44" s="126"/>
      <c r="E44" s="125"/>
      <c r="F44" s="126"/>
      <c r="G44" s="125"/>
      <c r="H44" s="126"/>
      <c r="I44" s="125">
        <f t="shared" si="14"/>
        <v>0</v>
      </c>
      <c r="J44" s="126"/>
      <c r="K44" s="144"/>
      <c r="L44" s="145"/>
      <c r="M44" s="146">
        <f t="shared" si="15"/>
        <v>0</v>
      </c>
      <c r="N44" s="147"/>
      <c r="O44" s="2">
        <v>0.85</v>
      </c>
      <c r="P44" s="36">
        <f t="shared" si="16"/>
        <v>0</v>
      </c>
    </row>
    <row r="45" spans="1:23" s="8" customFormat="1" x14ac:dyDescent="0.25">
      <c r="A45" s="4">
        <v>18</v>
      </c>
      <c r="B45" s="13" t="s">
        <v>51</v>
      </c>
      <c r="C45" s="125"/>
      <c r="D45" s="126"/>
      <c r="E45" s="125"/>
      <c r="F45" s="126"/>
      <c r="G45" s="125"/>
      <c r="H45" s="126"/>
      <c r="I45" s="125">
        <f t="shared" si="14"/>
        <v>0</v>
      </c>
      <c r="J45" s="126"/>
      <c r="K45" s="144"/>
      <c r="L45" s="145"/>
      <c r="M45" s="146">
        <f t="shared" si="15"/>
        <v>0</v>
      </c>
      <c r="N45" s="147"/>
      <c r="O45" s="2">
        <v>0.85</v>
      </c>
      <c r="P45" s="36">
        <f t="shared" si="16"/>
        <v>0</v>
      </c>
    </row>
    <row r="46" spans="1:23" s="8" customFormat="1" x14ac:dyDescent="0.25">
      <c r="A46" s="4">
        <v>19</v>
      </c>
      <c r="B46" s="13" t="s">
        <v>43</v>
      </c>
      <c r="C46" s="125"/>
      <c r="D46" s="126"/>
      <c r="E46" s="125"/>
      <c r="F46" s="126"/>
      <c r="G46" s="125"/>
      <c r="H46" s="126"/>
      <c r="I46" s="125">
        <f t="shared" si="14"/>
        <v>0</v>
      </c>
      <c r="J46" s="126"/>
      <c r="K46" s="144"/>
      <c r="L46" s="145"/>
      <c r="M46" s="146">
        <f t="shared" si="15"/>
        <v>0</v>
      </c>
      <c r="N46" s="147"/>
      <c r="O46" s="2">
        <v>0.85</v>
      </c>
      <c r="P46" s="36">
        <f t="shared" si="16"/>
        <v>0</v>
      </c>
    </row>
    <row r="47" spans="1:23" s="8" customFormat="1" ht="31.5" x14ac:dyDescent="0.25">
      <c r="A47" s="4">
        <v>20</v>
      </c>
      <c r="B47" s="13" t="s">
        <v>47</v>
      </c>
      <c r="C47" s="125"/>
      <c r="D47" s="126"/>
      <c r="E47" s="125"/>
      <c r="F47" s="126"/>
      <c r="G47" s="125"/>
      <c r="H47" s="126"/>
      <c r="I47" s="125">
        <f t="shared" si="14"/>
        <v>0</v>
      </c>
      <c r="J47" s="126"/>
      <c r="K47" s="144"/>
      <c r="L47" s="145"/>
      <c r="M47" s="146">
        <f>K47*I47</f>
        <v>0</v>
      </c>
      <c r="N47" s="147"/>
      <c r="O47" s="2">
        <v>0.85</v>
      </c>
      <c r="P47" s="36">
        <f t="shared" si="16"/>
        <v>0</v>
      </c>
    </row>
    <row r="48" spans="1:23" s="8" customFormat="1" x14ac:dyDescent="0.25">
      <c r="A48" s="4">
        <v>27</v>
      </c>
      <c r="B48" s="13" t="s">
        <v>33</v>
      </c>
      <c r="C48" s="125"/>
      <c r="D48" s="126"/>
      <c r="E48" s="125"/>
      <c r="F48" s="126"/>
      <c r="G48" s="125"/>
      <c r="H48" s="126"/>
      <c r="I48" s="125">
        <f t="shared" si="14"/>
        <v>0</v>
      </c>
      <c r="J48" s="126"/>
      <c r="K48" s="144"/>
      <c r="L48" s="145"/>
      <c r="M48" s="129">
        <f>K48*I48</f>
        <v>0</v>
      </c>
      <c r="N48" s="129"/>
      <c r="O48" s="2">
        <v>0.85</v>
      </c>
      <c r="P48" s="36">
        <f>M48/O48</f>
        <v>0</v>
      </c>
    </row>
    <row r="49" spans="1:23" x14ac:dyDescent="0.25">
      <c r="A49" s="4">
        <v>28</v>
      </c>
      <c r="B49" s="6"/>
      <c r="C49" s="125"/>
      <c r="D49" s="126"/>
      <c r="E49" s="125"/>
      <c r="F49" s="126"/>
      <c r="G49" s="125"/>
      <c r="H49" s="126"/>
      <c r="I49" s="125">
        <f t="shared" ref="I49:I50" si="17">G49*E49*C49</f>
        <v>0</v>
      </c>
      <c r="J49" s="126"/>
      <c r="K49" s="144"/>
      <c r="L49" s="145"/>
      <c r="M49" s="129">
        <f t="shared" ref="M49:M50" si="18">K49*I49</f>
        <v>0</v>
      </c>
      <c r="N49" s="129"/>
      <c r="O49" s="2">
        <v>0.85</v>
      </c>
      <c r="P49" s="36">
        <f>M49/O49</f>
        <v>0</v>
      </c>
      <c r="S49" s="8"/>
      <c r="T49" s="8"/>
      <c r="U49" s="8"/>
      <c r="V49" s="8"/>
      <c r="W49" s="8"/>
    </row>
    <row r="50" spans="1:23" ht="16.5" thickBot="1" x14ac:dyDescent="0.3">
      <c r="A50" s="4">
        <v>29</v>
      </c>
      <c r="B50" s="1"/>
      <c r="C50" s="125"/>
      <c r="D50" s="126"/>
      <c r="E50" s="125"/>
      <c r="F50" s="126"/>
      <c r="G50" s="125"/>
      <c r="H50" s="126"/>
      <c r="I50" s="125">
        <f t="shared" si="17"/>
        <v>0</v>
      </c>
      <c r="J50" s="126"/>
      <c r="K50" s="144"/>
      <c r="L50" s="145"/>
      <c r="M50" s="129">
        <f t="shared" si="18"/>
        <v>0</v>
      </c>
      <c r="N50" s="129"/>
      <c r="O50" s="2">
        <v>0.85</v>
      </c>
      <c r="P50" s="36">
        <f t="shared" si="16"/>
        <v>0</v>
      </c>
      <c r="S50" s="8"/>
      <c r="T50" s="14"/>
      <c r="U50" s="8"/>
      <c r="V50" s="8"/>
      <c r="W50" s="8"/>
    </row>
    <row r="51" spans="1:23" s="7" customFormat="1" ht="16.5" thickBot="1" x14ac:dyDescent="0.3">
      <c r="A51" s="127" t="s">
        <v>13</v>
      </c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9">
        <f>SUM(M40:N50)</f>
        <v>0</v>
      </c>
      <c r="N51" s="129"/>
      <c r="O51" s="105"/>
      <c r="P51" s="37">
        <f>SUM(P40:P50)</f>
        <v>0</v>
      </c>
      <c r="R51" s="104" t="e">
        <f>M51/P51</f>
        <v>#DIV/0!</v>
      </c>
      <c r="S51" s="8"/>
      <c r="T51" s="8"/>
      <c r="U51" s="8"/>
      <c r="V51" s="8"/>
      <c r="W51" s="8"/>
    </row>
    <row r="52" spans="1:23" ht="16.5" thickTop="1" x14ac:dyDescent="0.25">
      <c r="A52" s="119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1"/>
      <c r="S52" s="8"/>
      <c r="T52" s="8"/>
      <c r="U52" s="8"/>
      <c r="V52" s="8"/>
      <c r="W52" s="8"/>
    </row>
    <row r="53" spans="1:23" x14ac:dyDescent="0.25">
      <c r="A53" s="122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4"/>
      <c r="S53" s="8"/>
      <c r="T53" s="8"/>
      <c r="U53" s="8"/>
      <c r="V53" s="8"/>
      <c r="W53" s="8"/>
    </row>
    <row r="54" spans="1:23" x14ac:dyDescent="0.25">
      <c r="A54" s="115" t="s">
        <v>11</v>
      </c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7"/>
      <c r="P54" s="21">
        <f>P27+P37+P51</f>
        <v>1764.7058823529412</v>
      </c>
      <c r="S54" s="8"/>
      <c r="T54" s="8"/>
      <c r="U54" s="8"/>
      <c r="V54" s="8"/>
      <c r="W54" s="8"/>
    </row>
    <row r="55" spans="1:23" x14ac:dyDescent="0.25">
      <c r="A55" s="115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7"/>
      <c r="S55" s="8"/>
      <c r="T55" s="8"/>
      <c r="U55" s="8"/>
      <c r="V55" s="8"/>
      <c r="W55" s="8"/>
    </row>
    <row r="56" spans="1:23" x14ac:dyDescent="0.25">
      <c r="A56" s="115" t="s">
        <v>12</v>
      </c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7"/>
      <c r="P56" s="21">
        <v>0</v>
      </c>
      <c r="S56" s="8"/>
      <c r="T56" s="8"/>
      <c r="U56" s="8"/>
      <c r="V56" s="8"/>
      <c r="W56" s="8"/>
    </row>
    <row r="57" spans="1:23" x14ac:dyDescent="0.25">
      <c r="A57" s="115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7"/>
      <c r="S57" s="8"/>
      <c r="T57" s="8"/>
      <c r="U57" s="8"/>
      <c r="V57" s="8"/>
      <c r="W57" s="8"/>
    </row>
    <row r="58" spans="1:23" x14ac:dyDescent="0.25">
      <c r="A58" s="205" t="s">
        <v>17</v>
      </c>
      <c r="B58" s="205"/>
      <c r="C58" s="205"/>
      <c r="D58" s="205"/>
      <c r="E58" s="205"/>
      <c r="F58" s="205"/>
      <c r="G58" s="205"/>
      <c r="H58" s="205"/>
      <c r="I58" s="205"/>
      <c r="J58" s="205"/>
      <c r="K58" s="205"/>
      <c r="L58" s="205"/>
      <c r="M58" s="205"/>
      <c r="N58" s="205"/>
      <c r="O58" s="205"/>
      <c r="P58" s="21">
        <v>0</v>
      </c>
      <c r="S58" s="8"/>
      <c r="T58" s="8"/>
      <c r="U58" s="8"/>
      <c r="V58" s="8"/>
      <c r="W58" s="8"/>
    </row>
    <row r="59" spans="1:23" x14ac:dyDescent="0.25">
      <c r="A59" s="115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7"/>
      <c r="S59" s="8"/>
      <c r="T59" s="8"/>
      <c r="U59" s="8"/>
      <c r="V59" s="8"/>
      <c r="W59" s="8"/>
    </row>
    <row r="60" spans="1:23" x14ac:dyDescent="0.25">
      <c r="A60" s="118" t="s">
        <v>59</v>
      </c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22">
        <v>0</v>
      </c>
      <c r="S60" s="8"/>
      <c r="T60" s="8"/>
      <c r="U60" s="8"/>
      <c r="V60" s="8"/>
      <c r="W60" s="8"/>
    </row>
    <row r="61" spans="1:23" x14ac:dyDescent="0.25">
      <c r="A61" s="206"/>
      <c r="B61" s="207"/>
      <c r="C61" s="207"/>
      <c r="D61" s="207"/>
      <c r="E61" s="207"/>
      <c r="F61" s="207"/>
      <c r="G61" s="207"/>
      <c r="H61" s="207"/>
      <c r="I61" s="207"/>
      <c r="J61" s="207"/>
      <c r="K61" s="207"/>
      <c r="L61" s="207"/>
      <c r="M61" s="207"/>
      <c r="N61" s="207"/>
      <c r="O61" s="207"/>
      <c r="P61" s="208"/>
      <c r="S61" s="8"/>
      <c r="T61" s="8"/>
      <c r="U61" s="8"/>
      <c r="V61" s="8"/>
      <c r="W61" s="8"/>
    </row>
    <row r="62" spans="1:23" x14ac:dyDescent="0.25">
      <c r="A62" s="115" t="s">
        <v>7</v>
      </c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7"/>
      <c r="P62" s="21">
        <f>SUM(P54,P56,P58, P60)</f>
        <v>1764.7058823529412</v>
      </c>
      <c r="S62" s="8"/>
      <c r="T62" s="14"/>
      <c r="U62" s="8"/>
      <c r="V62" s="8"/>
      <c r="W62" s="8"/>
    </row>
    <row r="63" spans="1:23" x14ac:dyDescent="0.25">
      <c r="A63" s="115" t="s">
        <v>18</v>
      </c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7"/>
      <c r="P63" s="21">
        <f>P62*0.13</f>
        <v>229.41176470588238</v>
      </c>
    </row>
    <row r="64" spans="1:23" x14ac:dyDescent="0.25">
      <c r="A64" s="115" t="s">
        <v>19</v>
      </c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7"/>
      <c r="P64" s="21">
        <f>P62+P63</f>
        <v>1994.1176470588236</v>
      </c>
    </row>
    <row r="65" spans="1:16" x14ac:dyDescent="0.25">
      <c r="A65" s="12" t="s">
        <v>32</v>
      </c>
      <c r="P65" s="15">
        <f>P62*1.13</f>
        <v>1994.1176470588234</v>
      </c>
    </row>
    <row r="70" spans="1:16" ht="21" x14ac:dyDescent="0.25">
      <c r="C70" s="197">
        <v>2026</v>
      </c>
      <c r="D70" s="197"/>
      <c r="E70" s="197"/>
      <c r="F70" s="197"/>
      <c r="G70" s="197"/>
      <c r="H70" s="197"/>
      <c r="I70" s="197"/>
    </row>
    <row r="71" spans="1:16" ht="16.5" thickBot="1" x14ac:dyDescent="0.3">
      <c r="F71" s="7"/>
      <c r="G71" s="82"/>
    </row>
    <row r="72" spans="1:16" ht="32.25" thickBot="1" x14ac:dyDescent="0.3">
      <c r="B72" s="12" t="s">
        <v>106</v>
      </c>
      <c r="C72" s="97" t="s">
        <v>91</v>
      </c>
      <c r="D72" s="200" t="s">
        <v>93</v>
      </c>
      <c r="E72" s="200"/>
      <c r="F72" s="98" t="s">
        <v>92</v>
      </c>
      <c r="G72" s="98" t="s">
        <v>94</v>
      </c>
      <c r="H72" s="99" t="s">
        <v>95</v>
      </c>
      <c r="I72" s="99" t="s">
        <v>96</v>
      </c>
    </row>
    <row r="73" spans="1:16" x14ac:dyDescent="0.25">
      <c r="B73" s="82" t="s">
        <v>84</v>
      </c>
      <c r="C73" s="93">
        <v>102</v>
      </c>
      <c r="D73" s="113">
        <f>C73+18.5</f>
        <v>120.5</v>
      </c>
      <c r="E73" s="113"/>
      <c r="F73" s="94">
        <v>203.99</v>
      </c>
      <c r="G73" s="94">
        <f>F73+18.5</f>
        <v>222.49</v>
      </c>
      <c r="H73" s="95">
        <v>122.38</v>
      </c>
      <c r="I73" s="96">
        <f>H73+18.5</f>
        <v>140.88</v>
      </c>
      <c r="J73" s="17"/>
      <c r="K73" s="17"/>
      <c r="L73" s="17"/>
      <c r="N73" s="111"/>
    </row>
    <row r="74" spans="1:16" x14ac:dyDescent="0.25">
      <c r="B74" s="82" t="s">
        <v>85</v>
      </c>
      <c r="C74" s="90">
        <v>90.93</v>
      </c>
      <c r="D74" s="114">
        <f t="shared" ref="D74:D80" si="19">C74+18.5</f>
        <v>109.43</v>
      </c>
      <c r="E74" s="114"/>
      <c r="F74" s="91">
        <v>181.86</v>
      </c>
      <c r="G74" s="94">
        <f t="shared" ref="G74:G80" si="20">F74+18.5</f>
        <v>200.36</v>
      </c>
      <c r="H74" s="92">
        <v>109.13</v>
      </c>
      <c r="I74" s="96">
        <f t="shared" ref="I74:I80" si="21">H74+18.5</f>
        <v>127.63</v>
      </c>
      <c r="J74" s="17"/>
      <c r="K74" s="17"/>
      <c r="L74" s="17"/>
      <c r="N74" s="111"/>
    </row>
    <row r="75" spans="1:16" x14ac:dyDescent="0.25">
      <c r="B75" s="82" t="s">
        <v>86</v>
      </c>
      <c r="C75" s="90">
        <v>74.010000000000005</v>
      </c>
      <c r="D75" s="114">
        <f t="shared" si="19"/>
        <v>92.51</v>
      </c>
      <c r="E75" s="114"/>
      <c r="F75" s="91">
        <v>147.97999999999999</v>
      </c>
      <c r="G75" s="94">
        <f t="shared" si="20"/>
        <v>166.48</v>
      </c>
      <c r="H75" s="92">
        <v>88.78</v>
      </c>
      <c r="I75" s="96">
        <f t="shared" si="21"/>
        <v>107.28</v>
      </c>
      <c r="J75" s="17"/>
      <c r="K75" s="17"/>
      <c r="L75" s="17"/>
      <c r="N75" s="111"/>
    </row>
    <row r="76" spans="1:16" x14ac:dyDescent="0.25">
      <c r="B76" s="82" t="s">
        <v>87</v>
      </c>
      <c r="C76" s="90">
        <v>65.650000000000006</v>
      </c>
      <c r="D76" s="114">
        <f t="shared" si="19"/>
        <v>84.15</v>
      </c>
      <c r="E76" s="114"/>
      <c r="F76" s="91">
        <v>131.30000000000001</v>
      </c>
      <c r="G76" s="94">
        <f t="shared" si="20"/>
        <v>149.80000000000001</v>
      </c>
      <c r="H76" s="92">
        <v>78.790000000000006</v>
      </c>
      <c r="I76" s="96">
        <f t="shared" si="21"/>
        <v>97.29</v>
      </c>
      <c r="J76" s="17"/>
      <c r="K76" s="17"/>
      <c r="L76" s="17"/>
      <c r="N76" s="111"/>
    </row>
    <row r="77" spans="1:16" x14ac:dyDescent="0.25">
      <c r="B77" s="82" t="s">
        <v>88</v>
      </c>
      <c r="C77" s="90">
        <v>57.28</v>
      </c>
      <c r="D77" s="114">
        <f t="shared" si="19"/>
        <v>75.78</v>
      </c>
      <c r="E77" s="114"/>
      <c r="F77" s="91">
        <v>114.57</v>
      </c>
      <c r="G77" s="94">
        <f t="shared" si="20"/>
        <v>133.07</v>
      </c>
      <c r="H77" s="92">
        <v>68.739999999999995</v>
      </c>
      <c r="I77" s="96">
        <f t="shared" si="21"/>
        <v>87.24</v>
      </c>
      <c r="J77" s="17"/>
      <c r="K77" s="17"/>
      <c r="L77" s="17"/>
      <c r="N77" s="111"/>
    </row>
    <row r="78" spans="1:16" x14ac:dyDescent="0.25">
      <c r="B78" s="82" t="s">
        <v>89</v>
      </c>
      <c r="C78" s="90">
        <v>48.95</v>
      </c>
      <c r="D78" s="114">
        <f t="shared" si="19"/>
        <v>67.45</v>
      </c>
      <c r="E78" s="114"/>
      <c r="F78" s="91">
        <v>97.85</v>
      </c>
      <c r="G78" s="94">
        <f t="shared" si="20"/>
        <v>116.35</v>
      </c>
      <c r="H78" s="92">
        <v>58.71</v>
      </c>
      <c r="I78" s="96">
        <f t="shared" si="21"/>
        <v>77.210000000000008</v>
      </c>
      <c r="J78" s="17"/>
      <c r="K78" s="17"/>
      <c r="L78" s="17"/>
      <c r="N78" s="111"/>
    </row>
    <row r="79" spans="1:16" x14ac:dyDescent="0.25">
      <c r="B79" s="82" t="s">
        <v>90</v>
      </c>
      <c r="C79" s="90">
        <v>40.57</v>
      </c>
      <c r="D79" s="114">
        <f t="shared" si="19"/>
        <v>59.07</v>
      </c>
      <c r="E79" s="114"/>
      <c r="F79" s="91">
        <v>81.150000000000006</v>
      </c>
      <c r="G79" s="94">
        <f t="shared" si="20"/>
        <v>99.65</v>
      </c>
      <c r="H79" s="92">
        <v>48.69</v>
      </c>
      <c r="I79" s="96">
        <f t="shared" si="21"/>
        <v>67.19</v>
      </c>
      <c r="J79" s="17"/>
      <c r="K79" s="17"/>
      <c r="L79" s="17"/>
      <c r="N79" s="111"/>
    </row>
    <row r="80" spans="1:16" x14ac:dyDescent="0.25">
      <c r="B80" s="82" t="s">
        <v>112</v>
      </c>
      <c r="C80" s="90">
        <v>32.43</v>
      </c>
      <c r="D80" s="114">
        <f t="shared" si="19"/>
        <v>50.93</v>
      </c>
      <c r="E80" s="114"/>
      <c r="F80" s="91">
        <v>64.86</v>
      </c>
      <c r="G80" s="94">
        <f t="shared" si="20"/>
        <v>83.36</v>
      </c>
      <c r="H80" s="92">
        <v>38.92</v>
      </c>
      <c r="I80" s="96">
        <f t="shared" si="21"/>
        <v>57.42</v>
      </c>
      <c r="J80" s="17"/>
      <c r="K80" s="17"/>
      <c r="L80" s="17"/>
      <c r="N80" s="111"/>
    </row>
    <row r="81" spans="2:14" ht="16.5" thickBot="1" x14ac:dyDescent="0.3">
      <c r="D81" s="198"/>
      <c r="E81" s="199"/>
      <c r="N81" s="110"/>
    </row>
    <row r="82" spans="2:14" ht="32.25" thickBot="1" x14ac:dyDescent="0.3">
      <c r="B82" s="12" t="s">
        <v>107</v>
      </c>
      <c r="C82" s="97" t="s">
        <v>91</v>
      </c>
      <c r="D82" s="200" t="s">
        <v>93</v>
      </c>
      <c r="E82" s="200"/>
      <c r="F82" s="98" t="s">
        <v>92</v>
      </c>
      <c r="G82" s="98" t="s">
        <v>94</v>
      </c>
      <c r="H82" s="99" t="s">
        <v>95</v>
      </c>
      <c r="I82" s="99" t="s">
        <v>96</v>
      </c>
      <c r="K82" s="100" t="s">
        <v>16</v>
      </c>
    </row>
    <row r="83" spans="2:14" x14ac:dyDescent="0.25">
      <c r="B83" s="82" t="s">
        <v>84</v>
      </c>
      <c r="C83" s="101">
        <f>C73/$K$83</f>
        <v>127.5</v>
      </c>
      <c r="D83" s="201">
        <f>D73/$K$83</f>
        <v>150.625</v>
      </c>
      <c r="E83" s="202"/>
      <c r="F83" s="101">
        <f>F73/$K$83</f>
        <v>254.98750000000001</v>
      </c>
      <c r="G83" s="101">
        <f>G73/$K$83</f>
        <v>278.11250000000001</v>
      </c>
      <c r="H83" s="101">
        <f>H73/$K$83</f>
        <v>152.97499999999999</v>
      </c>
      <c r="I83" s="101">
        <f>I73/$K$83</f>
        <v>176.1</v>
      </c>
      <c r="K83" s="2">
        <v>0.8</v>
      </c>
    </row>
    <row r="84" spans="2:14" x14ac:dyDescent="0.25">
      <c r="B84" s="82" t="s">
        <v>85</v>
      </c>
      <c r="C84" s="101">
        <f>C74/$K$83</f>
        <v>113.66250000000001</v>
      </c>
      <c r="D84" s="114">
        <f t="shared" ref="C84:D90" si="22">D74/$K$83</f>
        <v>136.78749999999999</v>
      </c>
      <c r="E84" s="114"/>
      <c r="F84" s="101">
        <f>F74/$K$83</f>
        <v>227.32500000000002</v>
      </c>
      <c r="G84" s="101">
        <f t="shared" ref="G84:I90" si="23">G74/$K$83</f>
        <v>250.45000000000002</v>
      </c>
      <c r="H84" s="101">
        <f t="shared" si="23"/>
        <v>136.41249999999999</v>
      </c>
      <c r="I84" s="101">
        <f t="shared" si="23"/>
        <v>159.53749999999999</v>
      </c>
    </row>
    <row r="85" spans="2:14" x14ac:dyDescent="0.25">
      <c r="B85" s="82" t="s">
        <v>86</v>
      </c>
      <c r="C85" s="101">
        <f t="shared" si="22"/>
        <v>92.512500000000003</v>
      </c>
      <c r="D85" s="114">
        <f t="shared" si="22"/>
        <v>115.6375</v>
      </c>
      <c r="E85" s="114"/>
      <c r="F85" s="101">
        <f t="shared" ref="F85:F90" si="24">F75/$K$83</f>
        <v>184.97499999999997</v>
      </c>
      <c r="G85" s="101">
        <f t="shared" si="23"/>
        <v>208.09999999999997</v>
      </c>
      <c r="H85" s="101">
        <f t="shared" si="23"/>
        <v>110.97499999999999</v>
      </c>
      <c r="I85" s="101">
        <f t="shared" si="23"/>
        <v>134.1</v>
      </c>
    </row>
    <row r="86" spans="2:14" x14ac:dyDescent="0.25">
      <c r="B86" s="82" t="s">
        <v>87</v>
      </c>
      <c r="C86" s="101">
        <f t="shared" si="22"/>
        <v>82.0625</v>
      </c>
      <c r="D86" s="114">
        <f t="shared" si="22"/>
        <v>105.1875</v>
      </c>
      <c r="E86" s="114"/>
      <c r="F86" s="101">
        <f t="shared" si="24"/>
        <v>164.125</v>
      </c>
      <c r="G86" s="101">
        <f t="shared" si="23"/>
        <v>187.25</v>
      </c>
      <c r="H86" s="101">
        <f t="shared" si="23"/>
        <v>98.487499999999997</v>
      </c>
      <c r="I86" s="101">
        <f t="shared" si="23"/>
        <v>121.6125</v>
      </c>
    </row>
    <row r="87" spans="2:14" x14ac:dyDescent="0.25">
      <c r="B87" s="82" t="s">
        <v>88</v>
      </c>
      <c r="C87" s="101">
        <f t="shared" si="22"/>
        <v>71.599999999999994</v>
      </c>
      <c r="D87" s="114">
        <f t="shared" si="22"/>
        <v>94.724999999999994</v>
      </c>
      <c r="E87" s="114"/>
      <c r="F87" s="101">
        <f t="shared" si="24"/>
        <v>143.21249999999998</v>
      </c>
      <c r="G87" s="101">
        <f t="shared" si="23"/>
        <v>166.33749999999998</v>
      </c>
      <c r="H87" s="101">
        <f t="shared" si="23"/>
        <v>85.924999999999983</v>
      </c>
      <c r="I87" s="101">
        <f t="shared" si="23"/>
        <v>109.04999999999998</v>
      </c>
    </row>
    <row r="88" spans="2:14" x14ac:dyDescent="0.25">
      <c r="B88" s="82" t="s">
        <v>89</v>
      </c>
      <c r="C88" s="101">
        <f t="shared" si="22"/>
        <v>61.1875</v>
      </c>
      <c r="D88" s="114">
        <f t="shared" si="22"/>
        <v>84.3125</v>
      </c>
      <c r="E88" s="114"/>
      <c r="F88" s="101">
        <f t="shared" si="24"/>
        <v>122.31249999999999</v>
      </c>
      <c r="G88" s="101">
        <f t="shared" si="23"/>
        <v>145.43749999999997</v>
      </c>
      <c r="H88" s="101">
        <f t="shared" si="23"/>
        <v>73.387500000000003</v>
      </c>
      <c r="I88" s="101">
        <f t="shared" si="23"/>
        <v>96.512500000000003</v>
      </c>
    </row>
    <row r="89" spans="2:14" x14ac:dyDescent="0.25">
      <c r="B89" s="82" t="s">
        <v>90</v>
      </c>
      <c r="C89" s="101">
        <f t="shared" si="22"/>
        <v>50.712499999999999</v>
      </c>
      <c r="D89" s="203">
        <f t="shared" si="22"/>
        <v>73.837499999999991</v>
      </c>
      <c r="E89" s="204"/>
      <c r="F89" s="101">
        <f t="shared" si="24"/>
        <v>101.4375</v>
      </c>
      <c r="G89" s="101">
        <f t="shared" si="23"/>
        <v>124.5625</v>
      </c>
      <c r="H89" s="101">
        <f t="shared" si="23"/>
        <v>60.862499999999997</v>
      </c>
      <c r="I89" s="101">
        <f t="shared" si="23"/>
        <v>83.987499999999997</v>
      </c>
    </row>
    <row r="90" spans="2:14" x14ac:dyDescent="0.25">
      <c r="B90" s="12" t="s">
        <v>112</v>
      </c>
      <c r="C90" s="101">
        <f t="shared" si="22"/>
        <v>40.537499999999994</v>
      </c>
      <c r="D90" s="203">
        <f t="shared" si="22"/>
        <v>63.662499999999994</v>
      </c>
      <c r="E90" s="204"/>
      <c r="F90" s="101">
        <f t="shared" si="24"/>
        <v>81.074999999999989</v>
      </c>
      <c r="G90" s="101">
        <f t="shared" si="23"/>
        <v>104.19999999999999</v>
      </c>
      <c r="H90" s="101">
        <f t="shared" si="23"/>
        <v>48.65</v>
      </c>
      <c r="I90" s="101">
        <f t="shared" si="23"/>
        <v>71.774999999999991</v>
      </c>
    </row>
    <row r="91" spans="2:14" x14ac:dyDescent="0.25">
      <c r="D91" s="112"/>
      <c r="E91" s="112"/>
    </row>
    <row r="92" spans="2:14" x14ac:dyDescent="0.25">
      <c r="B92" s="12" t="s">
        <v>98</v>
      </c>
      <c r="C92" s="12" t="s">
        <v>99</v>
      </c>
    </row>
    <row r="93" spans="2:14" x14ac:dyDescent="0.25">
      <c r="B93" s="12" t="s">
        <v>100</v>
      </c>
      <c r="C93" s="12">
        <v>8.6999999999999993</v>
      </c>
      <c r="G93" s="112">
        <v>2500000</v>
      </c>
      <c r="H93" s="112"/>
      <c r="I93" s="17">
        <f>G93/1000*C93</f>
        <v>21750</v>
      </c>
    </row>
    <row r="94" spans="2:14" x14ac:dyDescent="0.25">
      <c r="B94" s="12" t="s">
        <v>101</v>
      </c>
      <c r="C94" s="12">
        <v>7.9</v>
      </c>
      <c r="G94" s="112">
        <v>2500000</v>
      </c>
      <c r="H94" s="112"/>
      <c r="I94" s="17">
        <f>G94/1000*C94</f>
        <v>19750</v>
      </c>
    </row>
    <row r="95" spans="2:14" x14ac:dyDescent="0.25">
      <c r="B95" s="12" t="s">
        <v>102</v>
      </c>
      <c r="C95" s="12">
        <v>6.95</v>
      </c>
      <c r="G95" s="112">
        <v>2500000</v>
      </c>
      <c r="H95" s="112"/>
      <c r="I95" s="17">
        <f>G95/1000*C95</f>
        <v>17375</v>
      </c>
    </row>
    <row r="96" spans="2:14" x14ac:dyDescent="0.25">
      <c r="B96" s="12" t="s">
        <v>108</v>
      </c>
      <c r="I96" s="17">
        <f>I93+I94+I95</f>
        <v>58875</v>
      </c>
    </row>
    <row r="97" spans="2:9" x14ac:dyDescent="0.25">
      <c r="B97" s="12" t="s">
        <v>103</v>
      </c>
      <c r="C97" s="12">
        <v>12</v>
      </c>
      <c r="I97" s="17">
        <f>I96*C97*0.01</f>
        <v>7065</v>
      </c>
    </row>
    <row r="98" spans="2:9" x14ac:dyDescent="0.25">
      <c r="B98" s="12" t="s">
        <v>104</v>
      </c>
      <c r="I98" s="17">
        <f>I96+I97</f>
        <v>65940</v>
      </c>
    </row>
    <row r="99" spans="2:9" x14ac:dyDescent="0.25">
      <c r="B99" s="12" t="s">
        <v>105</v>
      </c>
      <c r="I99" s="17">
        <f>I98/0.9</f>
        <v>73266.666666666672</v>
      </c>
    </row>
  </sheetData>
  <mergeCells count="181">
    <mergeCell ref="C70:I70"/>
    <mergeCell ref="M44:N44"/>
    <mergeCell ref="K48:L48"/>
    <mergeCell ref="K49:L49"/>
    <mergeCell ref="D90:E90"/>
    <mergeCell ref="D81:E81"/>
    <mergeCell ref="D82:E82"/>
    <mergeCell ref="D83:E83"/>
    <mergeCell ref="D84:E84"/>
    <mergeCell ref="D85:E85"/>
    <mergeCell ref="D86:E86"/>
    <mergeCell ref="D87:E87"/>
    <mergeCell ref="D88:E88"/>
    <mergeCell ref="D89:E89"/>
    <mergeCell ref="I45:J45"/>
    <mergeCell ref="I46:J46"/>
    <mergeCell ref="I47:J47"/>
    <mergeCell ref="I48:J48"/>
    <mergeCell ref="D72:E72"/>
    <mergeCell ref="A63:O63"/>
    <mergeCell ref="A58:O58"/>
    <mergeCell ref="M49:N49"/>
    <mergeCell ref="A64:O64"/>
    <mergeCell ref="A61:P61"/>
    <mergeCell ref="A16:P16"/>
    <mergeCell ref="G26:G27"/>
    <mergeCell ref="O26:O27"/>
    <mergeCell ref="A26:E26"/>
    <mergeCell ref="M40:N40"/>
    <mergeCell ref="M41:N41"/>
    <mergeCell ref="M42:N42"/>
    <mergeCell ref="M43:N43"/>
    <mergeCell ref="G50:H50"/>
    <mergeCell ref="G48:H48"/>
    <mergeCell ref="G45:H45"/>
    <mergeCell ref="G46:H46"/>
    <mergeCell ref="G47:H47"/>
    <mergeCell ref="M45:N45"/>
    <mergeCell ref="M46:N46"/>
    <mergeCell ref="M48:N48"/>
    <mergeCell ref="M47:N47"/>
    <mergeCell ref="M50:N50"/>
    <mergeCell ref="K45:L45"/>
    <mergeCell ref="K46:L46"/>
    <mergeCell ref="K47:L47"/>
    <mergeCell ref="K42:L42"/>
    <mergeCell ref="K43:L43"/>
    <mergeCell ref="K44:L44"/>
    <mergeCell ref="M34:N34"/>
    <mergeCell ref="I32:J32"/>
    <mergeCell ref="G30:H30"/>
    <mergeCell ref="E33:F33"/>
    <mergeCell ref="A1:P2"/>
    <mergeCell ref="A3:P3"/>
    <mergeCell ref="A6:P6"/>
    <mergeCell ref="A17:P17"/>
    <mergeCell ref="M29:N29"/>
    <mergeCell ref="M30:N30"/>
    <mergeCell ref="M31:N31"/>
    <mergeCell ref="M32:N32"/>
    <mergeCell ref="M33:N33"/>
    <mergeCell ref="A28:P28"/>
    <mergeCell ref="K30:L30"/>
    <mergeCell ref="I31:J31"/>
    <mergeCell ref="K31:L31"/>
    <mergeCell ref="O4:O5"/>
    <mergeCell ref="P4:P5"/>
    <mergeCell ref="C4:H4"/>
    <mergeCell ref="I4:N4"/>
    <mergeCell ref="I15:K15"/>
    <mergeCell ref="I26:K27"/>
    <mergeCell ref="M26:M27"/>
    <mergeCell ref="A62:O62"/>
    <mergeCell ref="C41:D41"/>
    <mergeCell ref="E41:F41"/>
    <mergeCell ref="G41:H41"/>
    <mergeCell ref="I41:J41"/>
    <mergeCell ref="K41:L41"/>
    <mergeCell ref="C40:D40"/>
    <mergeCell ref="E40:F40"/>
    <mergeCell ref="G40:H40"/>
    <mergeCell ref="I40:J40"/>
    <mergeCell ref="K40:L40"/>
    <mergeCell ref="K50:L50"/>
    <mergeCell ref="I42:J42"/>
    <mergeCell ref="G42:H42"/>
    <mergeCell ref="G43:H43"/>
    <mergeCell ref="G44:H44"/>
    <mergeCell ref="I43:J43"/>
    <mergeCell ref="I44:J44"/>
    <mergeCell ref="M35:N35"/>
    <mergeCell ref="M36:N36"/>
    <mergeCell ref="A38:P38"/>
    <mergeCell ref="M39:N39"/>
    <mergeCell ref="I36:J36"/>
    <mergeCell ref="K35:L35"/>
    <mergeCell ref="C43:D43"/>
    <mergeCell ref="C44:D44"/>
    <mergeCell ref="M37:N37"/>
    <mergeCell ref="I39:J39"/>
    <mergeCell ref="E39:F39"/>
    <mergeCell ref="C39:D39"/>
    <mergeCell ref="K39:L39"/>
    <mergeCell ref="I35:J35"/>
    <mergeCell ref="A37:L37"/>
    <mergeCell ref="G39:H39"/>
    <mergeCell ref="G35:H35"/>
    <mergeCell ref="G36:H36"/>
    <mergeCell ref="K36:L36"/>
    <mergeCell ref="G29:H29"/>
    <mergeCell ref="C35:D35"/>
    <mergeCell ref="K29:L29"/>
    <mergeCell ref="C36:D36"/>
    <mergeCell ref="C29:D29"/>
    <mergeCell ref="C30:D30"/>
    <mergeCell ref="C31:D31"/>
    <mergeCell ref="C32:D32"/>
    <mergeCell ref="C33:D33"/>
    <mergeCell ref="E29:F29"/>
    <mergeCell ref="E30:F30"/>
    <mergeCell ref="E31:F31"/>
    <mergeCell ref="E32:F32"/>
    <mergeCell ref="G31:H31"/>
    <mergeCell ref="K32:L32"/>
    <mergeCell ref="K33:L33"/>
    <mergeCell ref="G32:H32"/>
    <mergeCell ref="G33:H33"/>
    <mergeCell ref="I33:J33"/>
    <mergeCell ref="I34:J34"/>
    <mergeCell ref="K34:L34"/>
    <mergeCell ref="G34:H34"/>
    <mergeCell ref="I29:J29"/>
    <mergeCell ref="I30:J30"/>
    <mergeCell ref="A27:E27"/>
    <mergeCell ref="A15:E15"/>
    <mergeCell ref="C46:D46"/>
    <mergeCell ref="C47:D47"/>
    <mergeCell ref="C48:D48"/>
    <mergeCell ref="E49:F49"/>
    <mergeCell ref="E50:F50"/>
    <mergeCell ref="E48:F48"/>
    <mergeCell ref="A4:A5"/>
    <mergeCell ref="B4:B5"/>
    <mergeCell ref="E42:F42"/>
    <mergeCell ref="E43:F43"/>
    <mergeCell ref="E44:F44"/>
    <mergeCell ref="E34:F34"/>
    <mergeCell ref="E35:F35"/>
    <mergeCell ref="E36:F36"/>
    <mergeCell ref="C34:D34"/>
    <mergeCell ref="E45:F45"/>
    <mergeCell ref="E46:F46"/>
    <mergeCell ref="E47:F47"/>
    <mergeCell ref="C45:D45"/>
    <mergeCell ref="C49:D49"/>
    <mergeCell ref="C50:D50"/>
    <mergeCell ref="C42:D42"/>
    <mergeCell ref="A59:P59"/>
    <mergeCell ref="A57:P57"/>
    <mergeCell ref="A60:O60"/>
    <mergeCell ref="A52:P53"/>
    <mergeCell ref="A56:O56"/>
    <mergeCell ref="I49:J49"/>
    <mergeCell ref="I50:J50"/>
    <mergeCell ref="A55:P55"/>
    <mergeCell ref="G49:H49"/>
    <mergeCell ref="A51:L51"/>
    <mergeCell ref="M51:N51"/>
    <mergeCell ref="A54:O54"/>
    <mergeCell ref="G93:H93"/>
    <mergeCell ref="G94:H94"/>
    <mergeCell ref="G95:H95"/>
    <mergeCell ref="D73:E73"/>
    <mergeCell ref="D74:E74"/>
    <mergeCell ref="D75:E75"/>
    <mergeCell ref="D76:E76"/>
    <mergeCell ref="D77:E77"/>
    <mergeCell ref="D78:E78"/>
    <mergeCell ref="D79:E79"/>
    <mergeCell ref="D91:E91"/>
    <mergeCell ref="D80:E80"/>
  </mergeCells>
  <dataValidations disablePrompts="1" count="1">
    <dataValidation type="list" allowBlank="1" showInputMessage="1" showErrorMessage="1" sqref="O30:O36 O7:O14 O18:O25 K83 O40:O50" xr:uid="{0962C263-26EB-4B95-8F98-863BDC3A5F85}">
      <formula1>"1,.95,.94,.93,.92,.91,.9,.89,.88,.87,.86,.85,.84,.83,.82,.81,.8,.79,.78,.77,.76,.75,.74,.73,.72,.71,.7,.66"</formula1>
    </dataValidation>
  </dataValidations>
  <printOptions horizontalCentered="1" verticalCentered="1"/>
  <pageMargins left="0.45" right="0.45" top="0.75" bottom="0.75" header="0.3" footer="0.3"/>
  <pageSetup paperSize="17" scale="72" fitToHeight="0" orientation="portrait" horizontalDpi="300" verticalDpi="300" r:id="rId1"/>
  <colBreaks count="1" manualBreakCount="1">
    <brk id="16" max="8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09DF1-7BCC-4CDB-8066-D07D919CF29B}">
  <dimension ref="A1:W114"/>
  <sheetViews>
    <sheetView zoomScale="80" zoomScaleNormal="80" workbookViewId="0">
      <selection sqref="A1:T2"/>
    </sheetView>
  </sheetViews>
  <sheetFormatPr defaultColWidth="9.140625" defaultRowHeight="15.75" x14ac:dyDescent="0.25"/>
  <cols>
    <col min="1" max="1" width="9.140625" style="12"/>
    <col min="2" max="2" width="44.85546875" style="12" customWidth="1"/>
    <col min="3" max="3" width="14.140625" style="12" customWidth="1"/>
    <col min="4" max="4" width="7.28515625" style="12" customWidth="1"/>
    <col min="5" max="5" width="9.42578125" style="12" customWidth="1"/>
    <col min="6" max="6" width="15.7109375" style="12" customWidth="1"/>
    <col min="7" max="7" width="19.140625" style="12" customWidth="1"/>
    <col min="8" max="14" width="15.28515625" style="12" customWidth="1"/>
    <col min="15" max="15" width="14.85546875" style="12" customWidth="1"/>
    <col min="16" max="16" width="22" style="12" customWidth="1"/>
    <col min="17" max="20" width="16" style="12" customWidth="1"/>
    <col min="21" max="21" width="12.85546875" style="12" customWidth="1"/>
    <col min="22" max="22" width="13.85546875" style="12" customWidth="1"/>
    <col min="23" max="23" width="11.85546875" style="12" customWidth="1"/>
    <col min="24" max="16384" width="9.140625" style="12"/>
  </cols>
  <sheetData>
    <row r="1" spans="1:20" ht="23.25" customHeight="1" x14ac:dyDescent="0.25">
      <c r="A1" s="235" t="s">
        <v>97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</row>
    <row r="2" spans="1:20" ht="19.5" customHeight="1" x14ac:dyDescent="0.25">
      <c r="A2" s="235"/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</row>
    <row r="3" spans="1:20" ht="18.95" customHeight="1" thickBot="1" x14ac:dyDescent="0.3">
      <c r="A3" s="231" t="s">
        <v>77</v>
      </c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</row>
    <row r="4" spans="1:20" ht="18.95" customHeight="1" thickBot="1" x14ac:dyDescent="0.3">
      <c r="A4" s="136" t="s">
        <v>6</v>
      </c>
      <c r="B4" s="136" t="s">
        <v>0</v>
      </c>
      <c r="C4" s="140" t="s">
        <v>75</v>
      </c>
      <c r="D4" s="176"/>
      <c r="E4" s="176"/>
      <c r="F4" s="176"/>
      <c r="G4" s="176"/>
      <c r="H4" s="141"/>
      <c r="I4" s="177" t="s">
        <v>76</v>
      </c>
      <c r="J4" s="178"/>
      <c r="K4" s="178"/>
      <c r="L4" s="178"/>
      <c r="M4" s="178"/>
      <c r="N4" s="179"/>
      <c r="O4" s="136" t="s">
        <v>16</v>
      </c>
      <c r="P4" s="174" t="s">
        <v>53</v>
      </c>
      <c r="Q4" s="174" t="s">
        <v>54</v>
      </c>
      <c r="R4" s="174" t="s">
        <v>55</v>
      </c>
      <c r="S4" s="174" t="s">
        <v>56</v>
      </c>
      <c r="T4" s="174" t="s">
        <v>57</v>
      </c>
    </row>
    <row r="5" spans="1:20" ht="16.350000000000001" customHeight="1" thickBot="1" x14ac:dyDescent="0.3">
      <c r="A5" s="214"/>
      <c r="B5" s="214"/>
      <c r="C5" s="136" t="s">
        <v>1</v>
      </c>
      <c r="D5" s="136" t="s">
        <v>31</v>
      </c>
      <c r="E5" s="136" t="s">
        <v>74</v>
      </c>
      <c r="F5" s="136" t="s">
        <v>69</v>
      </c>
      <c r="G5" s="220" t="s">
        <v>68</v>
      </c>
      <c r="H5" s="220" t="s">
        <v>2</v>
      </c>
      <c r="I5" s="216" t="s">
        <v>1</v>
      </c>
      <c r="J5" s="216" t="s">
        <v>31</v>
      </c>
      <c r="K5" s="216" t="s">
        <v>70</v>
      </c>
      <c r="L5" s="216" t="s">
        <v>67</v>
      </c>
      <c r="M5" s="243" t="s">
        <v>71</v>
      </c>
      <c r="N5" s="216" t="s">
        <v>3</v>
      </c>
      <c r="O5" s="214"/>
      <c r="P5" s="215"/>
      <c r="Q5" s="215"/>
      <c r="R5" s="215"/>
      <c r="S5" s="215"/>
      <c r="T5" s="215"/>
    </row>
    <row r="6" spans="1:20" ht="15.95" customHeight="1" thickBot="1" x14ac:dyDescent="0.3">
      <c r="A6" s="137"/>
      <c r="B6" s="137"/>
      <c r="C6" s="137"/>
      <c r="D6" s="137"/>
      <c r="E6" s="137"/>
      <c r="F6" s="137"/>
      <c r="G6" s="221"/>
      <c r="H6" s="221"/>
      <c r="I6" s="217"/>
      <c r="J6" s="217"/>
      <c r="K6" s="217"/>
      <c r="L6" s="217"/>
      <c r="M6" s="244"/>
      <c r="N6" s="217"/>
      <c r="O6" s="137"/>
      <c r="P6" s="175"/>
      <c r="Q6" s="52">
        <v>1</v>
      </c>
      <c r="R6" s="52">
        <v>1</v>
      </c>
      <c r="S6" s="52">
        <v>1</v>
      </c>
      <c r="T6" s="52">
        <v>1</v>
      </c>
    </row>
    <row r="7" spans="1:20" ht="34.5" customHeight="1" thickBot="1" x14ac:dyDescent="0.3">
      <c r="A7" s="237" t="s">
        <v>4</v>
      </c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38"/>
    </row>
    <row r="8" spans="1:20" ht="16.5" thickTop="1" x14ac:dyDescent="0.25">
      <c r="A8" s="11">
        <v>1</v>
      </c>
      <c r="B8" s="1" t="s">
        <v>5</v>
      </c>
      <c r="C8" s="2"/>
      <c r="D8" s="2"/>
      <c r="E8" s="2"/>
      <c r="F8" s="2">
        <f>C8*D8*E8</f>
        <v>0</v>
      </c>
      <c r="G8" s="20">
        <v>90</v>
      </c>
      <c r="H8" s="25">
        <f>F8*G8</f>
        <v>0</v>
      </c>
      <c r="I8" s="38"/>
      <c r="J8" s="39"/>
      <c r="K8" s="39"/>
      <c r="L8" s="39">
        <f>I8*J8*K8</f>
        <v>0</v>
      </c>
      <c r="M8" s="40">
        <v>150</v>
      </c>
      <c r="N8" s="41">
        <f>L8*M8</f>
        <v>0</v>
      </c>
      <c r="O8" s="2">
        <v>0.85</v>
      </c>
      <c r="P8" s="53">
        <f>H8/O8+N8/O8</f>
        <v>0</v>
      </c>
      <c r="Q8" s="54">
        <f>P8*$Q$6</f>
        <v>0</v>
      </c>
      <c r="R8" s="54">
        <f>Q8*$R$6</f>
        <v>0</v>
      </c>
      <c r="S8" s="54">
        <f>R8*$S$6</f>
        <v>0</v>
      </c>
      <c r="T8" s="55">
        <f>S8*$T$6</f>
        <v>0</v>
      </c>
    </row>
    <row r="9" spans="1:20" x14ac:dyDescent="0.25">
      <c r="A9" s="11">
        <v>2</v>
      </c>
      <c r="B9" s="1" t="s">
        <v>4</v>
      </c>
      <c r="C9" s="2">
        <v>1</v>
      </c>
      <c r="D9" s="2">
        <v>1</v>
      </c>
      <c r="E9" s="2"/>
      <c r="F9" s="2">
        <f>C9*D9*E9</f>
        <v>0</v>
      </c>
      <c r="G9" s="20">
        <v>90</v>
      </c>
      <c r="H9" s="26">
        <f>F9*G9</f>
        <v>0</v>
      </c>
      <c r="I9" s="42"/>
      <c r="J9" s="23"/>
      <c r="K9" s="23"/>
      <c r="L9" s="23">
        <f>I9*J9*K9</f>
        <v>0</v>
      </c>
      <c r="M9" s="19">
        <v>150</v>
      </c>
      <c r="N9" s="26">
        <f>L9*M9</f>
        <v>0</v>
      </c>
      <c r="O9" s="2">
        <v>0.85</v>
      </c>
      <c r="P9" s="56">
        <f t="shared" ref="P9:P15" si="0">H9/O9+N9/O9</f>
        <v>0</v>
      </c>
      <c r="Q9" s="57">
        <f t="shared" ref="Q9:Q15" si="1">P9*$Q$6</f>
        <v>0</v>
      </c>
      <c r="R9" s="57">
        <f t="shared" ref="R9:R15" si="2">Q9*$R$6</f>
        <v>0</v>
      </c>
      <c r="S9" s="57">
        <f t="shared" ref="S9:S15" si="3">R9*$S$6</f>
        <v>0</v>
      </c>
      <c r="T9" s="58">
        <f t="shared" ref="T9:T15" si="4">S9*$T$6</f>
        <v>0</v>
      </c>
    </row>
    <row r="10" spans="1:20" x14ac:dyDescent="0.25">
      <c r="A10" s="11">
        <v>3</v>
      </c>
      <c r="B10" s="1" t="s">
        <v>23</v>
      </c>
      <c r="C10" s="2"/>
      <c r="D10" s="2"/>
      <c r="E10" s="2"/>
      <c r="F10" s="2">
        <f>C10*D10*E10</f>
        <v>0</v>
      </c>
      <c r="G10" s="20">
        <v>2000</v>
      </c>
      <c r="H10" s="26">
        <f>F10*G10</f>
        <v>0</v>
      </c>
      <c r="I10" s="42"/>
      <c r="J10" s="23"/>
      <c r="K10" s="23"/>
      <c r="L10" s="23">
        <f>I10*J10*K10</f>
        <v>0</v>
      </c>
      <c r="M10" s="19">
        <v>0</v>
      </c>
      <c r="N10" s="26">
        <f t="shared" ref="N10:N15" si="5">L10*M10</f>
        <v>0</v>
      </c>
      <c r="O10" s="2">
        <v>0.85</v>
      </c>
      <c r="P10" s="56">
        <f t="shared" si="0"/>
        <v>0</v>
      </c>
      <c r="Q10" s="57">
        <f t="shared" si="1"/>
        <v>0</v>
      </c>
      <c r="R10" s="57">
        <f t="shared" si="2"/>
        <v>0</v>
      </c>
      <c r="S10" s="57">
        <f t="shared" si="3"/>
        <v>0</v>
      </c>
      <c r="T10" s="58">
        <f t="shared" si="4"/>
        <v>0</v>
      </c>
    </row>
    <row r="11" spans="1:20" x14ac:dyDescent="0.25">
      <c r="A11" s="11">
        <v>4</v>
      </c>
      <c r="B11" s="1" t="s">
        <v>29</v>
      </c>
      <c r="C11" s="2">
        <v>0.02</v>
      </c>
      <c r="D11" s="2">
        <v>1</v>
      </c>
      <c r="E11" s="2">
        <v>1</v>
      </c>
      <c r="F11" s="2">
        <f t="shared" ref="F11:F12" si="6">C11*D11*E11</f>
        <v>0.02</v>
      </c>
      <c r="G11" s="20">
        <f>P39</f>
        <v>0</v>
      </c>
      <c r="H11" s="26">
        <f>F11*G11</f>
        <v>0</v>
      </c>
      <c r="I11" s="42"/>
      <c r="J11" s="23"/>
      <c r="K11" s="23"/>
      <c r="L11" s="23">
        <f t="shared" ref="L11:L12" si="7">I11*J11*K11</f>
        <v>0</v>
      </c>
      <c r="M11" s="19">
        <v>150</v>
      </c>
      <c r="N11" s="26">
        <f t="shared" si="5"/>
        <v>0</v>
      </c>
      <c r="O11" s="2">
        <v>0.85</v>
      </c>
      <c r="P11" s="56">
        <f>H11/O11+N11/O11</f>
        <v>0</v>
      </c>
      <c r="Q11" s="57">
        <f t="shared" si="1"/>
        <v>0</v>
      </c>
      <c r="R11" s="57">
        <f t="shared" si="2"/>
        <v>0</v>
      </c>
      <c r="S11" s="57">
        <f t="shared" si="3"/>
        <v>0</v>
      </c>
      <c r="T11" s="58">
        <f t="shared" si="4"/>
        <v>0</v>
      </c>
    </row>
    <row r="12" spans="1:20" x14ac:dyDescent="0.25">
      <c r="A12" s="11">
        <v>5</v>
      </c>
      <c r="B12" s="1" t="s">
        <v>30</v>
      </c>
      <c r="C12" s="2">
        <v>0.02</v>
      </c>
      <c r="D12" s="2">
        <v>1</v>
      </c>
      <c r="E12" s="2">
        <v>1</v>
      </c>
      <c r="F12" s="2">
        <f t="shared" si="6"/>
        <v>0.02</v>
      </c>
      <c r="G12" s="20">
        <f>P66</f>
        <v>0</v>
      </c>
      <c r="H12" s="26">
        <f t="shared" ref="H12" si="8">F12*G12</f>
        <v>0</v>
      </c>
      <c r="I12" s="42"/>
      <c r="J12" s="23"/>
      <c r="K12" s="23"/>
      <c r="L12" s="23">
        <f t="shared" si="7"/>
        <v>0</v>
      </c>
      <c r="M12" s="19">
        <v>150</v>
      </c>
      <c r="N12" s="26">
        <f t="shared" si="5"/>
        <v>0</v>
      </c>
      <c r="O12" s="2">
        <v>0.85</v>
      </c>
      <c r="P12" s="56">
        <f t="shared" si="0"/>
        <v>0</v>
      </c>
      <c r="Q12" s="57">
        <f t="shared" si="1"/>
        <v>0</v>
      </c>
      <c r="R12" s="57">
        <f t="shared" si="2"/>
        <v>0</v>
      </c>
      <c r="S12" s="57">
        <f t="shared" si="3"/>
        <v>0</v>
      </c>
      <c r="T12" s="58">
        <f t="shared" si="4"/>
        <v>0</v>
      </c>
    </row>
    <row r="13" spans="1:20" x14ac:dyDescent="0.25">
      <c r="A13" s="11">
        <v>6</v>
      </c>
      <c r="B13" s="1" t="s">
        <v>15</v>
      </c>
      <c r="C13" s="2"/>
      <c r="D13" s="2"/>
      <c r="E13" s="2"/>
      <c r="F13" s="2">
        <f>C13*D13*E13</f>
        <v>0</v>
      </c>
      <c r="G13" s="20">
        <v>80</v>
      </c>
      <c r="H13" s="26">
        <f>F13*G13</f>
        <v>0</v>
      </c>
      <c r="I13" s="42"/>
      <c r="J13" s="23"/>
      <c r="K13" s="23"/>
      <c r="L13" s="23">
        <f t="shared" ref="L13:L15" si="9">I13*J13*K13</f>
        <v>0</v>
      </c>
      <c r="M13" s="19">
        <v>150</v>
      </c>
      <c r="N13" s="26">
        <f t="shared" si="5"/>
        <v>0</v>
      </c>
      <c r="O13" s="2">
        <v>0.85</v>
      </c>
      <c r="P13" s="56">
        <f>H13/O13+N13/O13</f>
        <v>0</v>
      </c>
      <c r="Q13" s="57">
        <f t="shared" si="1"/>
        <v>0</v>
      </c>
      <c r="R13" s="57">
        <f t="shared" si="2"/>
        <v>0</v>
      </c>
      <c r="S13" s="57">
        <f t="shared" si="3"/>
        <v>0</v>
      </c>
      <c r="T13" s="58">
        <f t="shared" si="4"/>
        <v>0</v>
      </c>
    </row>
    <row r="14" spans="1:20" x14ac:dyDescent="0.25">
      <c r="A14" s="11">
        <v>7</v>
      </c>
      <c r="B14" s="1" t="s">
        <v>34</v>
      </c>
      <c r="C14" s="2"/>
      <c r="D14" s="2"/>
      <c r="E14" s="2"/>
      <c r="F14" s="2">
        <f t="shared" ref="F14:F15" si="10">C14*D14*E14</f>
        <v>0</v>
      </c>
      <c r="G14" s="20">
        <v>92</v>
      </c>
      <c r="H14" s="26">
        <f>F14*G14</f>
        <v>0</v>
      </c>
      <c r="I14" s="42"/>
      <c r="J14" s="23"/>
      <c r="K14" s="23"/>
      <c r="L14" s="23">
        <f t="shared" si="9"/>
        <v>0</v>
      </c>
      <c r="M14" s="19">
        <v>185</v>
      </c>
      <c r="N14" s="26">
        <f t="shared" si="5"/>
        <v>0</v>
      </c>
      <c r="O14" s="2">
        <v>0.85</v>
      </c>
      <c r="P14" s="56">
        <f>H14/O14+N14/O14</f>
        <v>0</v>
      </c>
      <c r="Q14" s="57">
        <f t="shared" si="1"/>
        <v>0</v>
      </c>
      <c r="R14" s="57">
        <f t="shared" si="2"/>
        <v>0</v>
      </c>
      <c r="S14" s="57">
        <f t="shared" si="3"/>
        <v>0</v>
      </c>
      <c r="T14" s="58">
        <f t="shared" si="4"/>
        <v>0</v>
      </c>
    </row>
    <row r="15" spans="1:20" x14ac:dyDescent="0.25">
      <c r="A15" s="11">
        <v>8</v>
      </c>
      <c r="B15" s="1" t="s">
        <v>83</v>
      </c>
      <c r="C15" s="2">
        <v>1</v>
      </c>
      <c r="D15" s="2">
        <v>1</v>
      </c>
      <c r="E15" s="2">
        <v>1</v>
      </c>
      <c r="F15" s="2">
        <f t="shared" si="10"/>
        <v>1</v>
      </c>
      <c r="G15" s="20">
        <v>0</v>
      </c>
      <c r="H15" s="26">
        <f>F15*G15</f>
        <v>0</v>
      </c>
      <c r="I15" s="42"/>
      <c r="J15" s="23"/>
      <c r="K15" s="23"/>
      <c r="L15" s="23">
        <f t="shared" si="9"/>
        <v>0</v>
      </c>
      <c r="M15" s="19">
        <v>150</v>
      </c>
      <c r="N15" s="26">
        <f t="shared" si="5"/>
        <v>0</v>
      </c>
      <c r="O15" s="2">
        <v>0.85</v>
      </c>
      <c r="P15" s="56">
        <f t="shared" si="0"/>
        <v>0</v>
      </c>
      <c r="Q15" s="57">
        <f t="shared" si="1"/>
        <v>0</v>
      </c>
      <c r="R15" s="57">
        <f t="shared" si="2"/>
        <v>0</v>
      </c>
      <c r="S15" s="57">
        <f t="shared" si="3"/>
        <v>0</v>
      </c>
      <c r="T15" s="58">
        <f t="shared" si="4"/>
        <v>0</v>
      </c>
    </row>
    <row r="16" spans="1:20" s="7" customFormat="1" ht="15.75" customHeight="1" thickBot="1" x14ac:dyDescent="0.3">
      <c r="A16" s="223" t="s">
        <v>8</v>
      </c>
      <c r="B16" s="223"/>
      <c r="C16" s="223"/>
      <c r="D16" s="223"/>
      <c r="E16" s="223"/>
      <c r="F16" s="3">
        <f>SUM(F8:F15)</f>
        <v>1.04</v>
      </c>
      <c r="G16" s="3"/>
      <c r="H16" s="27">
        <f>SUM(H8:H15)</f>
        <v>0</v>
      </c>
      <c r="I16" s="180"/>
      <c r="J16" s="181"/>
      <c r="K16" s="182"/>
      <c r="L16" s="43">
        <f>SUM(L8:L15)</f>
        <v>0</v>
      </c>
      <c r="M16" s="44"/>
      <c r="N16" s="45">
        <f>SUM(N8:N15)</f>
        <v>0</v>
      </c>
      <c r="O16" s="29"/>
      <c r="P16" s="59">
        <f>SUM(P8:P15)</f>
        <v>0</v>
      </c>
      <c r="Q16" s="60">
        <f t="shared" ref="Q16:T16" si="11">SUM(Q8:Q15)</f>
        <v>0</v>
      </c>
      <c r="R16" s="60">
        <f t="shared" si="11"/>
        <v>0</v>
      </c>
      <c r="S16" s="60">
        <f t="shared" si="11"/>
        <v>0</v>
      </c>
      <c r="T16" s="61">
        <f t="shared" si="11"/>
        <v>0</v>
      </c>
    </row>
    <row r="17" spans="1:23" ht="16.5" thickTop="1" x14ac:dyDescent="0.25">
      <c r="A17" s="239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0"/>
    </row>
    <row r="18" spans="1:23" ht="16.5" thickBot="1" x14ac:dyDescent="0.3">
      <c r="A18" s="241" t="s">
        <v>9</v>
      </c>
      <c r="B18" s="242"/>
      <c r="C18" s="242"/>
      <c r="D18" s="242"/>
      <c r="E18" s="242"/>
      <c r="F18" s="242"/>
      <c r="G18" s="242"/>
      <c r="H18" s="242"/>
      <c r="I18" s="242"/>
      <c r="J18" s="242"/>
      <c r="K18" s="242"/>
      <c r="L18" s="242"/>
      <c r="M18" s="242"/>
      <c r="N18" s="242"/>
      <c r="O18" s="242"/>
      <c r="P18" s="242"/>
      <c r="Q18" s="242"/>
      <c r="R18" s="242"/>
      <c r="S18" s="242"/>
      <c r="T18" s="242"/>
    </row>
    <row r="19" spans="1:23" ht="16.5" thickTop="1" x14ac:dyDescent="0.25">
      <c r="A19" s="11">
        <v>1</v>
      </c>
      <c r="B19" s="16" t="s">
        <v>66</v>
      </c>
      <c r="C19" s="2"/>
      <c r="D19" s="2"/>
      <c r="E19" s="2"/>
      <c r="F19" s="2">
        <f t="shared" ref="F19:F26" si="12">C19*D19*E19</f>
        <v>0</v>
      </c>
      <c r="G19" s="20">
        <v>105</v>
      </c>
      <c r="H19" s="46">
        <f t="shared" ref="H19:H26" si="13">F19*G19</f>
        <v>0</v>
      </c>
      <c r="I19" s="38"/>
      <c r="J19" s="39"/>
      <c r="K19" s="39"/>
      <c r="L19" s="39">
        <f>I19*J19*K19</f>
        <v>0</v>
      </c>
      <c r="M19" s="40">
        <v>195</v>
      </c>
      <c r="N19" s="41">
        <f>L19*M19</f>
        <v>0</v>
      </c>
      <c r="O19" s="2">
        <v>0.8</v>
      </c>
      <c r="P19" s="53">
        <f>H19/O19+N19/O19</f>
        <v>0</v>
      </c>
      <c r="Q19" s="54">
        <f>P19*$Q$6</f>
        <v>0</v>
      </c>
      <c r="R19" s="54">
        <f>Q19*$R$6</f>
        <v>0</v>
      </c>
      <c r="S19" s="54">
        <f>R19*$S$6</f>
        <v>0</v>
      </c>
      <c r="T19" s="55">
        <f>S19*$T$6</f>
        <v>0</v>
      </c>
    </row>
    <row r="20" spans="1:23" x14ac:dyDescent="0.25">
      <c r="A20" s="11">
        <v>2</v>
      </c>
      <c r="B20" s="16"/>
      <c r="C20" s="2"/>
      <c r="D20" s="2"/>
      <c r="E20" s="2"/>
      <c r="F20" s="2">
        <f t="shared" si="12"/>
        <v>0</v>
      </c>
      <c r="G20" s="20">
        <v>105</v>
      </c>
      <c r="H20" s="46">
        <f t="shared" si="13"/>
        <v>0</v>
      </c>
      <c r="I20" s="48"/>
      <c r="J20" s="24"/>
      <c r="K20" s="24"/>
      <c r="L20" s="24">
        <f t="shared" ref="L20:L26" si="14">I20*J20*K20</f>
        <v>0</v>
      </c>
      <c r="M20" s="20">
        <v>195</v>
      </c>
      <c r="N20" s="28">
        <f t="shared" ref="N20:N26" si="15">L20*M20</f>
        <v>0</v>
      </c>
      <c r="O20" s="2">
        <v>0.8</v>
      </c>
      <c r="P20" s="56">
        <f t="shared" ref="P20:P26" si="16">H20/O20+N20/O20</f>
        <v>0</v>
      </c>
      <c r="Q20" s="57">
        <f t="shared" ref="Q20:Q26" si="17">P20*$Q$6</f>
        <v>0</v>
      </c>
      <c r="R20" s="57">
        <f t="shared" ref="R20:R26" si="18">Q20*$R$6</f>
        <v>0</v>
      </c>
      <c r="S20" s="57">
        <f t="shared" ref="S20:S26" si="19">R20*$S$6</f>
        <v>0</v>
      </c>
      <c r="T20" s="58">
        <f t="shared" ref="T20:T26" si="20">S20*$T$6</f>
        <v>0</v>
      </c>
      <c r="U20" s="18"/>
    </row>
    <row r="21" spans="1:23" x14ac:dyDescent="0.25">
      <c r="A21" s="11">
        <v>3</v>
      </c>
      <c r="B21" s="6"/>
      <c r="C21" s="2"/>
      <c r="D21" s="2"/>
      <c r="E21" s="2"/>
      <c r="F21" s="2">
        <f t="shared" si="12"/>
        <v>0</v>
      </c>
      <c r="G21" s="20">
        <v>105</v>
      </c>
      <c r="H21" s="46">
        <f t="shared" si="13"/>
        <v>0</v>
      </c>
      <c r="I21" s="48"/>
      <c r="J21" s="24"/>
      <c r="K21" s="24"/>
      <c r="L21" s="24">
        <f t="shared" si="14"/>
        <v>0</v>
      </c>
      <c r="M21" s="20">
        <v>195</v>
      </c>
      <c r="N21" s="28">
        <f t="shared" si="15"/>
        <v>0</v>
      </c>
      <c r="O21" s="2">
        <v>0.8</v>
      </c>
      <c r="P21" s="56">
        <f t="shared" si="16"/>
        <v>0</v>
      </c>
      <c r="Q21" s="57">
        <f t="shared" si="17"/>
        <v>0</v>
      </c>
      <c r="R21" s="57">
        <f t="shared" si="18"/>
        <v>0</v>
      </c>
      <c r="S21" s="57">
        <f t="shared" si="19"/>
        <v>0</v>
      </c>
      <c r="T21" s="58">
        <f t="shared" si="20"/>
        <v>0</v>
      </c>
      <c r="U21" s="18"/>
    </row>
    <row r="22" spans="1:23" x14ac:dyDescent="0.25">
      <c r="A22" s="11">
        <v>4</v>
      </c>
      <c r="B22" s="6"/>
      <c r="C22" s="2"/>
      <c r="D22" s="2"/>
      <c r="E22" s="2"/>
      <c r="F22" s="2">
        <f t="shared" si="12"/>
        <v>0</v>
      </c>
      <c r="G22" s="20">
        <v>105</v>
      </c>
      <c r="H22" s="46">
        <f t="shared" si="13"/>
        <v>0</v>
      </c>
      <c r="I22" s="48"/>
      <c r="J22" s="24"/>
      <c r="K22" s="24"/>
      <c r="L22" s="24">
        <f t="shared" si="14"/>
        <v>0</v>
      </c>
      <c r="M22" s="20">
        <v>195</v>
      </c>
      <c r="N22" s="28">
        <f t="shared" si="15"/>
        <v>0</v>
      </c>
      <c r="O22" s="2">
        <v>0.8</v>
      </c>
      <c r="P22" s="56">
        <f t="shared" si="16"/>
        <v>0</v>
      </c>
      <c r="Q22" s="57">
        <f t="shared" si="17"/>
        <v>0</v>
      </c>
      <c r="R22" s="57">
        <f t="shared" si="18"/>
        <v>0</v>
      </c>
      <c r="S22" s="57">
        <f t="shared" si="19"/>
        <v>0</v>
      </c>
      <c r="T22" s="58">
        <f t="shared" si="20"/>
        <v>0</v>
      </c>
      <c r="U22" s="18"/>
    </row>
    <row r="23" spans="1:23" x14ac:dyDescent="0.25">
      <c r="A23" s="11">
        <v>5</v>
      </c>
      <c r="B23" s="6"/>
      <c r="C23" s="2"/>
      <c r="D23" s="2"/>
      <c r="E23" s="2"/>
      <c r="F23" s="2">
        <f t="shared" si="12"/>
        <v>0</v>
      </c>
      <c r="G23" s="20">
        <v>105</v>
      </c>
      <c r="H23" s="46">
        <f t="shared" si="13"/>
        <v>0</v>
      </c>
      <c r="I23" s="48"/>
      <c r="J23" s="24"/>
      <c r="K23" s="24"/>
      <c r="L23" s="24">
        <f t="shared" si="14"/>
        <v>0</v>
      </c>
      <c r="M23" s="20">
        <v>195</v>
      </c>
      <c r="N23" s="28">
        <f t="shared" si="15"/>
        <v>0</v>
      </c>
      <c r="O23" s="2">
        <v>0.8</v>
      </c>
      <c r="P23" s="56">
        <f t="shared" si="16"/>
        <v>0</v>
      </c>
      <c r="Q23" s="57">
        <f t="shared" si="17"/>
        <v>0</v>
      </c>
      <c r="R23" s="57">
        <f t="shared" si="18"/>
        <v>0</v>
      </c>
      <c r="S23" s="57">
        <f t="shared" si="19"/>
        <v>0</v>
      </c>
      <c r="T23" s="58">
        <f t="shared" si="20"/>
        <v>0</v>
      </c>
    </row>
    <row r="24" spans="1:23" x14ac:dyDescent="0.25">
      <c r="A24" s="11">
        <v>6</v>
      </c>
      <c r="B24" s="6"/>
      <c r="C24" s="2"/>
      <c r="D24" s="2"/>
      <c r="E24" s="2"/>
      <c r="F24" s="2">
        <f t="shared" si="12"/>
        <v>0</v>
      </c>
      <c r="G24" s="20">
        <v>105</v>
      </c>
      <c r="H24" s="46">
        <f t="shared" si="13"/>
        <v>0</v>
      </c>
      <c r="I24" s="48"/>
      <c r="J24" s="24"/>
      <c r="K24" s="24"/>
      <c r="L24" s="24">
        <f t="shared" si="14"/>
        <v>0</v>
      </c>
      <c r="M24" s="20">
        <v>195</v>
      </c>
      <c r="N24" s="28">
        <f t="shared" si="15"/>
        <v>0</v>
      </c>
      <c r="O24" s="2">
        <v>0.8</v>
      </c>
      <c r="P24" s="56">
        <f t="shared" si="16"/>
        <v>0</v>
      </c>
      <c r="Q24" s="57">
        <f t="shared" si="17"/>
        <v>0</v>
      </c>
      <c r="R24" s="57">
        <f t="shared" si="18"/>
        <v>0</v>
      </c>
      <c r="S24" s="57">
        <f t="shared" si="19"/>
        <v>0</v>
      </c>
      <c r="T24" s="58">
        <f t="shared" si="20"/>
        <v>0</v>
      </c>
    </row>
    <row r="25" spans="1:23" x14ac:dyDescent="0.25">
      <c r="A25" s="11">
        <v>7</v>
      </c>
      <c r="B25" s="6"/>
      <c r="C25" s="2"/>
      <c r="D25" s="2"/>
      <c r="E25" s="2"/>
      <c r="F25" s="2">
        <f t="shared" si="12"/>
        <v>0</v>
      </c>
      <c r="G25" s="20">
        <v>105</v>
      </c>
      <c r="H25" s="46">
        <f t="shared" si="13"/>
        <v>0</v>
      </c>
      <c r="I25" s="48"/>
      <c r="J25" s="24"/>
      <c r="K25" s="24"/>
      <c r="L25" s="24">
        <f t="shared" si="14"/>
        <v>0</v>
      </c>
      <c r="M25" s="20">
        <v>195</v>
      </c>
      <c r="N25" s="28">
        <f t="shared" si="15"/>
        <v>0</v>
      </c>
      <c r="O25" s="2">
        <v>0.8</v>
      </c>
      <c r="P25" s="56">
        <f t="shared" si="16"/>
        <v>0</v>
      </c>
      <c r="Q25" s="57">
        <f t="shared" si="17"/>
        <v>0</v>
      </c>
      <c r="R25" s="57">
        <f t="shared" si="18"/>
        <v>0</v>
      </c>
      <c r="S25" s="57">
        <f t="shared" si="19"/>
        <v>0</v>
      </c>
      <c r="T25" s="58">
        <f t="shared" si="20"/>
        <v>0</v>
      </c>
    </row>
    <row r="26" spans="1:23" x14ac:dyDescent="0.25">
      <c r="A26" s="11">
        <v>8</v>
      </c>
      <c r="B26" s="6"/>
      <c r="C26" s="2"/>
      <c r="D26" s="2"/>
      <c r="E26" s="2"/>
      <c r="F26" s="2">
        <f t="shared" si="12"/>
        <v>0</v>
      </c>
      <c r="G26" s="20">
        <v>105</v>
      </c>
      <c r="H26" s="46">
        <f t="shared" si="13"/>
        <v>0</v>
      </c>
      <c r="I26" s="48"/>
      <c r="J26" s="24"/>
      <c r="K26" s="24"/>
      <c r="L26" s="24">
        <f t="shared" si="14"/>
        <v>0</v>
      </c>
      <c r="M26" s="20">
        <v>195</v>
      </c>
      <c r="N26" s="28">
        <f t="shared" si="15"/>
        <v>0</v>
      </c>
      <c r="O26" s="2">
        <v>0.8</v>
      </c>
      <c r="P26" s="56">
        <f t="shared" si="16"/>
        <v>0</v>
      </c>
      <c r="Q26" s="57">
        <f t="shared" si="17"/>
        <v>0</v>
      </c>
      <c r="R26" s="57">
        <f t="shared" si="18"/>
        <v>0</v>
      </c>
      <c r="S26" s="57">
        <f t="shared" si="19"/>
        <v>0</v>
      </c>
      <c r="T26" s="58">
        <f t="shared" si="20"/>
        <v>0</v>
      </c>
    </row>
    <row r="27" spans="1:23" ht="15.75" customHeight="1" x14ac:dyDescent="0.25">
      <c r="A27" s="133" t="s">
        <v>22</v>
      </c>
      <c r="B27" s="134"/>
      <c r="C27" s="134"/>
      <c r="D27" s="134"/>
      <c r="E27" s="135"/>
      <c r="F27" s="3">
        <f>SUM(F19:F26)</f>
        <v>0</v>
      </c>
      <c r="G27" s="193"/>
      <c r="H27" s="47">
        <f>SUM(H19:H26)</f>
        <v>0</v>
      </c>
      <c r="I27" s="183"/>
      <c r="J27" s="184"/>
      <c r="K27" s="185"/>
      <c r="L27" s="86">
        <f>SUM(L19:L26)</f>
        <v>0</v>
      </c>
      <c r="M27" s="189"/>
      <c r="N27" s="87">
        <f>SUM(N19:N26)</f>
        <v>0</v>
      </c>
      <c r="O27" s="195"/>
      <c r="P27" s="62">
        <f>SUM(P19:P26)</f>
        <v>0</v>
      </c>
      <c r="Q27" s="63">
        <f t="shared" ref="Q27:T27" si="21">SUM(Q19:Q26)</f>
        <v>0</v>
      </c>
      <c r="R27" s="63">
        <f t="shared" si="21"/>
        <v>0</v>
      </c>
      <c r="S27" s="63">
        <f t="shared" si="21"/>
        <v>0</v>
      </c>
      <c r="T27" s="64">
        <f t="shared" si="21"/>
        <v>0</v>
      </c>
    </row>
    <row r="28" spans="1:23" s="7" customFormat="1" ht="15.75" customHeight="1" thickBot="1" x14ac:dyDescent="0.3">
      <c r="A28" s="133" t="s">
        <v>10</v>
      </c>
      <c r="B28" s="134"/>
      <c r="C28" s="134"/>
      <c r="D28" s="134"/>
      <c r="E28" s="135"/>
      <c r="F28" s="3">
        <f>F16+F27</f>
        <v>1.04</v>
      </c>
      <c r="G28" s="224"/>
      <c r="H28" s="47">
        <f>H16+H27</f>
        <v>0</v>
      </c>
      <c r="I28" s="225"/>
      <c r="J28" s="226"/>
      <c r="K28" s="227"/>
      <c r="L28" s="43">
        <f>L16+L27</f>
        <v>0</v>
      </c>
      <c r="M28" s="228"/>
      <c r="N28" s="88">
        <f>N16+N27</f>
        <v>0</v>
      </c>
      <c r="O28" s="222"/>
      <c r="P28" s="59">
        <f>P16+P27</f>
        <v>0</v>
      </c>
      <c r="Q28" s="60">
        <f t="shared" ref="Q28:T28" si="22">Q16+Q27</f>
        <v>0</v>
      </c>
      <c r="R28" s="60">
        <f>R16+R27</f>
        <v>0</v>
      </c>
      <c r="S28" s="60">
        <f t="shared" si="22"/>
        <v>0</v>
      </c>
      <c r="T28" s="61">
        <f t="shared" si="22"/>
        <v>0</v>
      </c>
    </row>
    <row r="29" spans="1:23" s="7" customFormat="1" ht="34.5" customHeight="1" thickTop="1" thickBot="1" x14ac:dyDescent="0.3">
      <c r="A29" s="213" t="s">
        <v>20</v>
      </c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8"/>
      <c r="V29" s="8"/>
      <c r="W29" s="8"/>
    </row>
    <row r="30" spans="1:23" s="7" customFormat="1" ht="18.95" customHeight="1" thickBot="1" x14ac:dyDescent="0.3">
      <c r="A30" s="136" t="s">
        <v>6</v>
      </c>
      <c r="B30" s="136" t="s">
        <v>0</v>
      </c>
      <c r="C30" s="136" t="s">
        <v>24</v>
      </c>
      <c r="D30" s="136"/>
      <c r="E30" s="136" t="s">
        <v>31</v>
      </c>
      <c r="F30" s="136"/>
      <c r="G30" s="220" t="s">
        <v>28</v>
      </c>
      <c r="H30" s="220"/>
      <c r="I30" s="220" t="s">
        <v>25</v>
      </c>
      <c r="J30" s="220"/>
      <c r="K30" s="220" t="s">
        <v>26</v>
      </c>
      <c r="L30" s="220"/>
      <c r="M30" s="220" t="s">
        <v>2</v>
      </c>
      <c r="N30" s="220"/>
      <c r="O30" s="136" t="s">
        <v>16</v>
      </c>
      <c r="P30" s="218" t="s">
        <v>3</v>
      </c>
      <c r="Q30" s="51" t="s">
        <v>78</v>
      </c>
      <c r="R30" s="51" t="s">
        <v>79</v>
      </c>
      <c r="S30" s="51" t="s">
        <v>80</v>
      </c>
      <c r="T30" s="51" t="s">
        <v>81</v>
      </c>
      <c r="U30" s="8"/>
      <c r="V30" s="8"/>
      <c r="W30" s="8"/>
    </row>
    <row r="31" spans="1:23" s="7" customFormat="1" ht="19.5" thickBot="1" x14ac:dyDescent="0.3">
      <c r="A31" s="137"/>
      <c r="B31" s="137"/>
      <c r="C31" s="137"/>
      <c r="D31" s="137"/>
      <c r="E31" s="137"/>
      <c r="F31" s="137"/>
      <c r="G31" s="221"/>
      <c r="H31" s="221"/>
      <c r="I31" s="221"/>
      <c r="J31" s="221"/>
      <c r="K31" s="221"/>
      <c r="L31" s="221"/>
      <c r="M31" s="221"/>
      <c r="N31" s="221"/>
      <c r="O31" s="137"/>
      <c r="P31" s="219"/>
      <c r="Q31" s="51">
        <v>1</v>
      </c>
      <c r="R31" s="51">
        <v>1</v>
      </c>
      <c r="S31" s="51">
        <v>1</v>
      </c>
      <c r="T31" s="51">
        <v>1</v>
      </c>
      <c r="U31" s="8"/>
      <c r="V31" s="8"/>
      <c r="W31" s="8"/>
    </row>
    <row r="32" spans="1:23" s="7" customFormat="1" ht="16.5" thickTop="1" x14ac:dyDescent="0.25">
      <c r="A32" s="4">
        <v>1</v>
      </c>
      <c r="B32" s="5" t="s">
        <v>35</v>
      </c>
      <c r="C32" s="153"/>
      <c r="D32" s="154"/>
      <c r="E32" s="153"/>
      <c r="F32" s="154"/>
      <c r="G32" s="153"/>
      <c r="H32" s="154"/>
      <c r="I32" s="229">
        <f>C32*E32*G32</f>
        <v>0</v>
      </c>
      <c r="J32" s="230"/>
      <c r="K32" s="209"/>
      <c r="L32" s="210"/>
      <c r="M32" s="211">
        <f>K32*I32</f>
        <v>0</v>
      </c>
      <c r="N32" s="212"/>
      <c r="O32" s="2">
        <v>0.95</v>
      </c>
      <c r="P32" s="53">
        <f>M32/O32</f>
        <v>0</v>
      </c>
      <c r="Q32" s="65">
        <f>P32*$Q$31</f>
        <v>0</v>
      </c>
      <c r="R32" s="65">
        <f>Q32*$R$31</f>
        <v>0</v>
      </c>
      <c r="S32" s="65">
        <f>R32*$S$31</f>
        <v>0</v>
      </c>
      <c r="T32" s="66">
        <f>S32*$T$31</f>
        <v>0</v>
      </c>
      <c r="U32" s="8"/>
      <c r="V32" s="8"/>
      <c r="W32" s="8"/>
    </row>
    <row r="33" spans="1:23" s="7" customFormat="1" x14ac:dyDescent="0.25">
      <c r="A33" s="2">
        <v>2</v>
      </c>
      <c r="B33" s="6" t="s">
        <v>64</v>
      </c>
      <c r="C33" s="125"/>
      <c r="D33" s="126"/>
      <c r="E33" s="125"/>
      <c r="F33" s="126"/>
      <c r="G33" s="125"/>
      <c r="H33" s="126"/>
      <c r="I33" s="125">
        <f t="shared" ref="I33:I38" si="23">C33*E33*G33</f>
        <v>0</v>
      </c>
      <c r="J33" s="126"/>
      <c r="K33" s="144"/>
      <c r="L33" s="145"/>
      <c r="M33" s="146">
        <f>K33*I33</f>
        <v>0</v>
      </c>
      <c r="N33" s="147"/>
      <c r="O33" s="2">
        <v>0.85</v>
      </c>
      <c r="P33" s="56">
        <f t="shared" ref="P33:P38" si="24">M33/O33</f>
        <v>0</v>
      </c>
      <c r="Q33" s="67">
        <f t="shared" ref="Q33:Q38" si="25">P33*$Q$31</f>
        <v>0</v>
      </c>
      <c r="R33" s="67">
        <f t="shared" ref="R33:R38" si="26">Q33*$R$31</f>
        <v>0</v>
      </c>
      <c r="S33" s="67">
        <f t="shared" ref="S33:S38" si="27">R33*$S$31</f>
        <v>0</v>
      </c>
      <c r="T33" s="68">
        <f t="shared" ref="T33:T38" si="28">S33*$T$31</f>
        <v>0</v>
      </c>
      <c r="U33" s="8"/>
      <c r="V33" s="8"/>
      <c r="W33" s="8"/>
    </row>
    <row r="34" spans="1:23" s="7" customFormat="1" x14ac:dyDescent="0.25">
      <c r="A34" s="2">
        <v>3</v>
      </c>
      <c r="B34" s="6" t="s">
        <v>65</v>
      </c>
      <c r="C34" s="125"/>
      <c r="D34" s="126"/>
      <c r="E34" s="125"/>
      <c r="F34" s="126"/>
      <c r="G34" s="125"/>
      <c r="H34" s="126"/>
      <c r="I34" s="125">
        <f t="shared" si="23"/>
        <v>0</v>
      </c>
      <c r="J34" s="126"/>
      <c r="K34" s="144"/>
      <c r="L34" s="145"/>
      <c r="M34" s="146">
        <f t="shared" ref="M34:M38" si="29">K34*I34</f>
        <v>0</v>
      </c>
      <c r="N34" s="147"/>
      <c r="O34" s="2">
        <v>0.85</v>
      </c>
      <c r="P34" s="56">
        <f t="shared" si="24"/>
        <v>0</v>
      </c>
      <c r="Q34" s="67">
        <f t="shared" si="25"/>
        <v>0</v>
      </c>
      <c r="R34" s="67">
        <f t="shared" si="26"/>
        <v>0</v>
      </c>
      <c r="S34" s="67">
        <f t="shared" si="27"/>
        <v>0</v>
      </c>
      <c r="T34" s="68">
        <f t="shared" si="28"/>
        <v>0</v>
      </c>
      <c r="U34" s="8"/>
      <c r="V34" s="8"/>
      <c r="W34" s="8"/>
    </row>
    <row r="35" spans="1:23" s="7" customFormat="1" x14ac:dyDescent="0.25">
      <c r="A35" s="2">
        <v>4</v>
      </c>
      <c r="B35" s="6" t="s">
        <v>52</v>
      </c>
      <c r="C35" s="125"/>
      <c r="D35" s="126"/>
      <c r="E35" s="125"/>
      <c r="F35" s="126"/>
      <c r="G35" s="125"/>
      <c r="H35" s="126"/>
      <c r="I35" s="125">
        <f t="shared" si="23"/>
        <v>0</v>
      </c>
      <c r="J35" s="126"/>
      <c r="K35" s="144"/>
      <c r="L35" s="145"/>
      <c r="M35" s="146">
        <f t="shared" si="29"/>
        <v>0</v>
      </c>
      <c r="N35" s="147"/>
      <c r="O35" s="2">
        <v>0.85</v>
      </c>
      <c r="P35" s="56">
        <f t="shared" si="24"/>
        <v>0</v>
      </c>
      <c r="Q35" s="67">
        <f t="shared" si="25"/>
        <v>0</v>
      </c>
      <c r="R35" s="67">
        <f t="shared" si="26"/>
        <v>0</v>
      </c>
      <c r="S35" s="67">
        <f t="shared" si="27"/>
        <v>0</v>
      </c>
      <c r="T35" s="68">
        <f t="shared" si="28"/>
        <v>0</v>
      </c>
      <c r="U35" s="8"/>
      <c r="V35" s="8"/>
      <c r="W35" s="8"/>
    </row>
    <row r="36" spans="1:23" s="7" customFormat="1" x14ac:dyDescent="0.25">
      <c r="A36" s="2">
        <v>5</v>
      </c>
      <c r="B36" s="6" t="s">
        <v>60</v>
      </c>
      <c r="C36" s="125"/>
      <c r="D36" s="126"/>
      <c r="E36" s="125"/>
      <c r="F36" s="126"/>
      <c r="G36" s="125"/>
      <c r="H36" s="126"/>
      <c r="I36" s="125">
        <f t="shared" si="23"/>
        <v>0</v>
      </c>
      <c r="J36" s="126"/>
      <c r="K36" s="144"/>
      <c r="L36" s="145"/>
      <c r="M36" s="146">
        <f t="shared" si="29"/>
        <v>0</v>
      </c>
      <c r="N36" s="147"/>
      <c r="O36" s="2">
        <v>0.85</v>
      </c>
      <c r="P36" s="56">
        <f t="shared" si="24"/>
        <v>0</v>
      </c>
      <c r="Q36" s="67">
        <f t="shared" si="25"/>
        <v>0</v>
      </c>
      <c r="R36" s="67">
        <f t="shared" si="26"/>
        <v>0</v>
      </c>
      <c r="S36" s="67">
        <f t="shared" si="27"/>
        <v>0</v>
      </c>
      <c r="T36" s="68">
        <f t="shared" si="28"/>
        <v>0</v>
      </c>
      <c r="U36" s="8"/>
      <c r="V36" s="8"/>
      <c r="W36" s="8"/>
    </row>
    <row r="37" spans="1:23" s="7" customFormat="1" x14ac:dyDescent="0.25">
      <c r="A37" s="2"/>
      <c r="B37" s="6"/>
      <c r="C37" s="125"/>
      <c r="D37" s="126"/>
      <c r="E37" s="125"/>
      <c r="F37" s="126"/>
      <c r="G37" s="125"/>
      <c r="H37" s="126"/>
      <c r="I37" s="125">
        <f t="shared" si="23"/>
        <v>0</v>
      </c>
      <c r="J37" s="126"/>
      <c r="K37" s="144"/>
      <c r="L37" s="145"/>
      <c r="M37" s="146">
        <f t="shared" si="29"/>
        <v>0</v>
      </c>
      <c r="N37" s="147"/>
      <c r="O37" s="2">
        <v>0.85</v>
      </c>
      <c r="P37" s="56">
        <f t="shared" si="24"/>
        <v>0</v>
      </c>
      <c r="Q37" s="67">
        <f t="shared" si="25"/>
        <v>0</v>
      </c>
      <c r="R37" s="67">
        <f t="shared" si="26"/>
        <v>0</v>
      </c>
      <c r="S37" s="67">
        <f t="shared" si="27"/>
        <v>0</v>
      </c>
      <c r="T37" s="68">
        <f t="shared" si="28"/>
        <v>0</v>
      </c>
      <c r="U37" s="8"/>
      <c r="V37" s="8"/>
      <c r="W37" s="8"/>
    </row>
    <row r="38" spans="1:23" s="7" customFormat="1" x14ac:dyDescent="0.25">
      <c r="A38" s="2"/>
      <c r="B38" s="6"/>
      <c r="C38" s="125"/>
      <c r="D38" s="126"/>
      <c r="E38" s="125"/>
      <c r="F38" s="126"/>
      <c r="G38" s="125"/>
      <c r="H38" s="126"/>
      <c r="I38" s="153">
        <f t="shared" si="23"/>
        <v>0</v>
      </c>
      <c r="J38" s="154"/>
      <c r="K38" s="144"/>
      <c r="L38" s="145"/>
      <c r="M38" s="148">
        <f t="shared" si="29"/>
        <v>0</v>
      </c>
      <c r="N38" s="149"/>
      <c r="O38" s="2">
        <v>0.85</v>
      </c>
      <c r="P38" s="56">
        <f t="shared" si="24"/>
        <v>0</v>
      </c>
      <c r="Q38" s="67">
        <f t="shared" si="25"/>
        <v>0</v>
      </c>
      <c r="R38" s="67">
        <f t="shared" si="26"/>
        <v>0</v>
      </c>
      <c r="S38" s="67">
        <f t="shared" si="27"/>
        <v>0</v>
      </c>
      <c r="T38" s="68">
        <f t="shared" si="28"/>
        <v>0</v>
      </c>
      <c r="U38" s="8"/>
      <c r="V38" s="8"/>
      <c r="W38" s="8"/>
    </row>
    <row r="39" spans="1:23" s="7" customFormat="1" ht="15.75" customHeight="1" thickBot="1" x14ac:dyDescent="0.3">
      <c r="A39" s="155" t="s">
        <v>21</v>
      </c>
      <c r="B39" s="156"/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59">
        <f>SUM(P32:P38)</f>
        <v>0</v>
      </c>
      <c r="Q39" s="60">
        <f t="shared" ref="Q39:T39" si="30">SUM(Q32:Q38)</f>
        <v>0</v>
      </c>
      <c r="R39" s="60">
        <f t="shared" si="30"/>
        <v>0</v>
      </c>
      <c r="S39" s="60">
        <f t="shared" si="30"/>
        <v>0</v>
      </c>
      <c r="T39" s="61">
        <f t="shared" si="30"/>
        <v>0</v>
      </c>
      <c r="U39" s="8"/>
      <c r="V39" s="8"/>
      <c r="W39" s="8"/>
    </row>
    <row r="40" spans="1:23" ht="34.5" customHeight="1" thickBot="1" x14ac:dyDescent="0.3">
      <c r="A40" s="231" t="s">
        <v>14</v>
      </c>
      <c r="B40" s="213"/>
      <c r="C40" s="213"/>
      <c r="D40" s="213"/>
      <c r="E40" s="213"/>
      <c r="F40" s="213"/>
      <c r="G40" s="213"/>
      <c r="H40" s="213"/>
      <c r="I40" s="213"/>
      <c r="J40" s="213"/>
      <c r="K40" s="213"/>
      <c r="L40" s="213"/>
      <c r="M40" s="213"/>
      <c r="N40" s="213"/>
      <c r="O40" s="213"/>
      <c r="P40" s="213"/>
      <c r="Q40" s="213"/>
      <c r="R40" s="213"/>
      <c r="S40" s="213"/>
      <c r="T40" s="213"/>
      <c r="U40" s="8"/>
      <c r="V40" s="8"/>
      <c r="W40" s="8"/>
    </row>
    <row r="41" spans="1:23" ht="18.95" customHeight="1" thickBot="1" x14ac:dyDescent="0.3">
      <c r="A41" s="136" t="s">
        <v>6</v>
      </c>
      <c r="B41" s="136" t="s">
        <v>27</v>
      </c>
      <c r="C41" s="136" t="s">
        <v>24</v>
      </c>
      <c r="D41" s="136"/>
      <c r="E41" s="136" t="s">
        <v>73</v>
      </c>
      <c r="F41" s="136"/>
      <c r="G41" s="220" t="s">
        <v>28</v>
      </c>
      <c r="H41" s="220"/>
      <c r="I41" s="220" t="s">
        <v>25</v>
      </c>
      <c r="J41" s="220"/>
      <c r="K41" s="220" t="s">
        <v>26</v>
      </c>
      <c r="L41" s="220"/>
      <c r="M41" s="220" t="s">
        <v>2</v>
      </c>
      <c r="N41" s="220"/>
      <c r="O41" s="136" t="s">
        <v>16</v>
      </c>
      <c r="P41" s="218" t="s">
        <v>3</v>
      </c>
      <c r="Q41" s="51" t="s">
        <v>78</v>
      </c>
      <c r="R41" s="51" t="s">
        <v>79</v>
      </c>
      <c r="S41" s="51" t="s">
        <v>80</v>
      </c>
      <c r="T41" s="51" t="s">
        <v>81</v>
      </c>
      <c r="U41" s="8"/>
      <c r="V41" s="8"/>
      <c r="W41" s="8"/>
    </row>
    <row r="42" spans="1:23" ht="19.5" thickBot="1" x14ac:dyDescent="0.3">
      <c r="A42" s="137"/>
      <c r="B42" s="137"/>
      <c r="C42" s="137"/>
      <c r="D42" s="137"/>
      <c r="E42" s="137"/>
      <c r="F42" s="137"/>
      <c r="G42" s="221"/>
      <c r="H42" s="221"/>
      <c r="I42" s="221"/>
      <c r="J42" s="221"/>
      <c r="K42" s="221"/>
      <c r="L42" s="221"/>
      <c r="M42" s="221"/>
      <c r="N42" s="221"/>
      <c r="O42" s="137"/>
      <c r="P42" s="219"/>
      <c r="Q42" s="51">
        <v>1</v>
      </c>
      <c r="R42" s="51">
        <v>1</v>
      </c>
      <c r="S42" s="51">
        <v>1</v>
      </c>
      <c r="T42" s="51">
        <v>1</v>
      </c>
      <c r="U42" s="8"/>
      <c r="V42" s="8"/>
      <c r="W42" s="8"/>
    </row>
    <row r="43" spans="1:23" ht="16.5" thickTop="1" x14ac:dyDescent="0.25">
      <c r="A43" s="4">
        <v>1</v>
      </c>
      <c r="B43" s="5" t="s">
        <v>82</v>
      </c>
      <c r="C43" s="229"/>
      <c r="D43" s="230"/>
      <c r="E43" s="229"/>
      <c r="F43" s="230"/>
      <c r="G43" s="229"/>
      <c r="H43" s="230"/>
      <c r="I43" s="229">
        <f>G43*E43*C43</f>
        <v>0</v>
      </c>
      <c r="J43" s="230"/>
      <c r="K43" s="232"/>
      <c r="L43" s="233"/>
      <c r="M43" s="211">
        <f>K43*I43</f>
        <v>0</v>
      </c>
      <c r="N43" s="212"/>
      <c r="O43" s="2">
        <v>0.85</v>
      </c>
      <c r="P43" s="69">
        <f>M43/O43</f>
        <v>0</v>
      </c>
      <c r="Q43" s="54">
        <f>P43*$Q$42</f>
        <v>0</v>
      </c>
      <c r="R43" s="54">
        <f>Q43*$R$42</f>
        <v>0</v>
      </c>
      <c r="S43" s="54">
        <f>R43*$S$42</f>
        <v>0</v>
      </c>
      <c r="T43" s="55">
        <f>S43*$T$42</f>
        <v>0</v>
      </c>
      <c r="U43" s="8"/>
      <c r="V43" s="8"/>
      <c r="W43" s="8"/>
    </row>
    <row r="44" spans="1:23" s="8" customFormat="1" x14ac:dyDescent="0.25">
      <c r="A44" s="4">
        <v>2</v>
      </c>
      <c r="B44" s="6" t="s">
        <v>61</v>
      </c>
      <c r="C44" s="125"/>
      <c r="D44" s="126"/>
      <c r="E44" s="125"/>
      <c r="F44" s="126"/>
      <c r="G44" s="125"/>
      <c r="H44" s="126"/>
      <c r="I44" s="125">
        <f t="shared" ref="I44:I65" si="31">G44*E44*C44</f>
        <v>0</v>
      </c>
      <c r="J44" s="126"/>
      <c r="K44" s="144"/>
      <c r="L44" s="145"/>
      <c r="M44" s="146">
        <f t="shared" ref="M44:M63" si="32">K44*I44</f>
        <v>0</v>
      </c>
      <c r="N44" s="147"/>
      <c r="O44" s="2">
        <v>0.85</v>
      </c>
      <c r="P44" s="70">
        <f t="shared" ref="P44:P62" si="33">M44/O44</f>
        <v>0</v>
      </c>
      <c r="Q44" s="57">
        <f t="shared" ref="Q44:Q62" si="34">P44*$Q$42</f>
        <v>0</v>
      </c>
      <c r="R44" s="57">
        <f t="shared" ref="R44:R65" si="35">Q44*$R$42</f>
        <v>0</v>
      </c>
      <c r="S44" s="57">
        <f t="shared" ref="S44:S62" si="36">R44*$S$42</f>
        <v>0</v>
      </c>
      <c r="T44" s="58">
        <f t="shared" ref="T44:T65" si="37">S44*$T$42</f>
        <v>0</v>
      </c>
    </row>
    <row r="45" spans="1:23" s="8" customFormat="1" x14ac:dyDescent="0.25">
      <c r="A45" s="4">
        <v>3</v>
      </c>
      <c r="B45" s="6" t="s">
        <v>62</v>
      </c>
      <c r="C45" s="125"/>
      <c r="D45" s="126"/>
      <c r="E45" s="125"/>
      <c r="F45" s="126"/>
      <c r="G45" s="125"/>
      <c r="H45" s="126"/>
      <c r="I45" s="125">
        <f t="shared" si="31"/>
        <v>0</v>
      </c>
      <c r="J45" s="126"/>
      <c r="K45" s="144"/>
      <c r="L45" s="145"/>
      <c r="M45" s="146">
        <f t="shared" si="32"/>
        <v>0</v>
      </c>
      <c r="N45" s="147"/>
      <c r="O45" s="2">
        <v>0.85</v>
      </c>
      <c r="P45" s="70">
        <f t="shared" si="33"/>
        <v>0</v>
      </c>
      <c r="Q45" s="57">
        <f t="shared" si="34"/>
        <v>0</v>
      </c>
      <c r="R45" s="57">
        <f t="shared" si="35"/>
        <v>0</v>
      </c>
      <c r="S45" s="57">
        <f t="shared" si="36"/>
        <v>0</v>
      </c>
      <c r="T45" s="58">
        <f t="shared" si="37"/>
        <v>0</v>
      </c>
    </row>
    <row r="46" spans="1:23" s="8" customFormat="1" x14ac:dyDescent="0.25">
      <c r="A46" s="4">
        <v>4</v>
      </c>
      <c r="B46" s="6" t="s">
        <v>63</v>
      </c>
      <c r="C46" s="125"/>
      <c r="D46" s="126"/>
      <c r="E46" s="125"/>
      <c r="F46" s="126"/>
      <c r="G46" s="125"/>
      <c r="H46" s="126"/>
      <c r="I46" s="125">
        <f t="shared" si="31"/>
        <v>0</v>
      </c>
      <c r="J46" s="126"/>
      <c r="K46" s="144"/>
      <c r="L46" s="145"/>
      <c r="M46" s="146">
        <f t="shared" si="32"/>
        <v>0</v>
      </c>
      <c r="N46" s="147"/>
      <c r="O46" s="2">
        <v>0.85</v>
      </c>
      <c r="P46" s="70">
        <f t="shared" si="33"/>
        <v>0</v>
      </c>
      <c r="Q46" s="57">
        <f t="shared" si="34"/>
        <v>0</v>
      </c>
      <c r="R46" s="57">
        <f t="shared" si="35"/>
        <v>0</v>
      </c>
      <c r="S46" s="57">
        <f t="shared" si="36"/>
        <v>0</v>
      </c>
      <c r="T46" s="58">
        <f t="shared" si="37"/>
        <v>0</v>
      </c>
    </row>
    <row r="47" spans="1:23" s="8" customFormat="1" x14ac:dyDescent="0.25">
      <c r="A47" s="4">
        <v>5</v>
      </c>
      <c r="B47" s="6" t="s">
        <v>48</v>
      </c>
      <c r="C47" s="125"/>
      <c r="D47" s="126"/>
      <c r="E47" s="125"/>
      <c r="F47" s="126"/>
      <c r="G47" s="125"/>
      <c r="H47" s="126"/>
      <c r="I47" s="125">
        <f t="shared" si="31"/>
        <v>0</v>
      </c>
      <c r="J47" s="126"/>
      <c r="K47" s="144"/>
      <c r="L47" s="145"/>
      <c r="M47" s="146">
        <f t="shared" si="32"/>
        <v>0</v>
      </c>
      <c r="N47" s="147"/>
      <c r="O47" s="2">
        <v>0.85</v>
      </c>
      <c r="P47" s="70">
        <f t="shared" si="33"/>
        <v>0</v>
      </c>
      <c r="Q47" s="57">
        <f t="shared" si="34"/>
        <v>0</v>
      </c>
      <c r="R47" s="57">
        <f t="shared" si="35"/>
        <v>0</v>
      </c>
      <c r="S47" s="57">
        <f t="shared" si="36"/>
        <v>0</v>
      </c>
      <c r="T47" s="58">
        <f t="shared" si="37"/>
        <v>0</v>
      </c>
    </row>
    <row r="48" spans="1:23" s="8" customFormat="1" x14ac:dyDescent="0.25">
      <c r="A48" s="4">
        <v>6</v>
      </c>
      <c r="B48" s="6" t="s">
        <v>44</v>
      </c>
      <c r="C48" s="125"/>
      <c r="D48" s="126"/>
      <c r="E48" s="125"/>
      <c r="F48" s="126"/>
      <c r="G48" s="125"/>
      <c r="H48" s="126"/>
      <c r="I48" s="125">
        <f t="shared" si="31"/>
        <v>0</v>
      </c>
      <c r="J48" s="126"/>
      <c r="K48" s="144"/>
      <c r="L48" s="145"/>
      <c r="M48" s="146">
        <f t="shared" si="32"/>
        <v>0</v>
      </c>
      <c r="N48" s="147"/>
      <c r="O48" s="2">
        <v>0.85</v>
      </c>
      <c r="P48" s="70">
        <f t="shared" si="33"/>
        <v>0</v>
      </c>
      <c r="Q48" s="57">
        <f t="shared" si="34"/>
        <v>0</v>
      </c>
      <c r="R48" s="57">
        <f t="shared" si="35"/>
        <v>0</v>
      </c>
      <c r="S48" s="57">
        <f t="shared" si="36"/>
        <v>0</v>
      </c>
      <c r="T48" s="58">
        <f t="shared" si="37"/>
        <v>0</v>
      </c>
    </row>
    <row r="49" spans="1:23" s="8" customFormat="1" x14ac:dyDescent="0.25">
      <c r="A49" s="4">
        <v>7</v>
      </c>
      <c r="B49" s="6" t="s">
        <v>36</v>
      </c>
      <c r="C49" s="125"/>
      <c r="D49" s="126"/>
      <c r="E49" s="125"/>
      <c r="F49" s="126"/>
      <c r="G49" s="125"/>
      <c r="H49" s="126"/>
      <c r="I49" s="125">
        <f t="shared" si="31"/>
        <v>0</v>
      </c>
      <c r="J49" s="126"/>
      <c r="K49" s="144"/>
      <c r="L49" s="145"/>
      <c r="M49" s="146">
        <f t="shared" si="32"/>
        <v>0</v>
      </c>
      <c r="N49" s="147"/>
      <c r="O49" s="2">
        <v>0.85</v>
      </c>
      <c r="P49" s="70">
        <f t="shared" si="33"/>
        <v>0</v>
      </c>
      <c r="Q49" s="57">
        <f t="shared" si="34"/>
        <v>0</v>
      </c>
      <c r="R49" s="57">
        <f t="shared" si="35"/>
        <v>0</v>
      </c>
      <c r="S49" s="57">
        <f t="shared" si="36"/>
        <v>0</v>
      </c>
      <c r="T49" s="58">
        <f t="shared" si="37"/>
        <v>0</v>
      </c>
    </row>
    <row r="50" spans="1:23" s="8" customFormat="1" x14ac:dyDescent="0.25">
      <c r="A50" s="4">
        <v>8</v>
      </c>
      <c r="B50" s="6" t="s">
        <v>38</v>
      </c>
      <c r="C50" s="125"/>
      <c r="D50" s="126"/>
      <c r="E50" s="125"/>
      <c r="F50" s="126"/>
      <c r="G50" s="125"/>
      <c r="H50" s="126"/>
      <c r="I50" s="125">
        <f t="shared" si="31"/>
        <v>0</v>
      </c>
      <c r="J50" s="126"/>
      <c r="K50" s="144"/>
      <c r="L50" s="145"/>
      <c r="M50" s="146">
        <f t="shared" si="32"/>
        <v>0</v>
      </c>
      <c r="N50" s="147"/>
      <c r="O50" s="2">
        <v>0.85</v>
      </c>
      <c r="P50" s="70">
        <f t="shared" si="33"/>
        <v>0</v>
      </c>
      <c r="Q50" s="57">
        <f t="shared" si="34"/>
        <v>0</v>
      </c>
      <c r="R50" s="57">
        <f t="shared" si="35"/>
        <v>0</v>
      </c>
      <c r="S50" s="57">
        <f t="shared" si="36"/>
        <v>0</v>
      </c>
      <c r="T50" s="58">
        <f t="shared" si="37"/>
        <v>0</v>
      </c>
    </row>
    <row r="51" spans="1:23" s="8" customFormat="1" x14ac:dyDescent="0.25">
      <c r="A51" s="4">
        <v>9</v>
      </c>
      <c r="B51" s="6" t="s">
        <v>49</v>
      </c>
      <c r="C51" s="125"/>
      <c r="D51" s="126"/>
      <c r="E51" s="125"/>
      <c r="F51" s="126"/>
      <c r="G51" s="125"/>
      <c r="H51" s="126"/>
      <c r="I51" s="125">
        <f t="shared" si="31"/>
        <v>0</v>
      </c>
      <c r="J51" s="126"/>
      <c r="K51" s="144"/>
      <c r="L51" s="145"/>
      <c r="M51" s="146">
        <f t="shared" si="32"/>
        <v>0</v>
      </c>
      <c r="N51" s="147"/>
      <c r="O51" s="2">
        <v>0.85</v>
      </c>
      <c r="P51" s="70">
        <f t="shared" si="33"/>
        <v>0</v>
      </c>
      <c r="Q51" s="57">
        <f t="shared" si="34"/>
        <v>0</v>
      </c>
      <c r="R51" s="57">
        <f t="shared" si="35"/>
        <v>0</v>
      </c>
      <c r="S51" s="57">
        <f t="shared" si="36"/>
        <v>0</v>
      </c>
      <c r="T51" s="58">
        <f t="shared" si="37"/>
        <v>0</v>
      </c>
    </row>
    <row r="52" spans="1:23" s="8" customFormat="1" x14ac:dyDescent="0.25">
      <c r="A52" s="4">
        <v>10</v>
      </c>
      <c r="B52" s="6" t="s">
        <v>45</v>
      </c>
      <c r="C52" s="125"/>
      <c r="D52" s="126"/>
      <c r="E52" s="125"/>
      <c r="F52" s="126"/>
      <c r="G52" s="125"/>
      <c r="H52" s="126"/>
      <c r="I52" s="125">
        <f t="shared" si="31"/>
        <v>0</v>
      </c>
      <c r="J52" s="126"/>
      <c r="K52" s="144"/>
      <c r="L52" s="145"/>
      <c r="M52" s="146">
        <f t="shared" si="32"/>
        <v>0</v>
      </c>
      <c r="N52" s="147"/>
      <c r="O52" s="2">
        <v>0.85</v>
      </c>
      <c r="P52" s="70">
        <f t="shared" si="33"/>
        <v>0</v>
      </c>
      <c r="Q52" s="57">
        <f t="shared" si="34"/>
        <v>0</v>
      </c>
      <c r="R52" s="57">
        <f t="shared" si="35"/>
        <v>0</v>
      </c>
      <c r="S52" s="57">
        <f t="shared" si="36"/>
        <v>0</v>
      </c>
      <c r="T52" s="58">
        <f t="shared" si="37"/>
        <v>0</v>
      </c>
    </row>
    <row r="53" spans="1:23" s="8" customFormat="1" x14ac:dyDescent="0.25">
      <c r="A53" s="4">
        <v>11</v>
      </c>
      <c r="B53" s="6" t="s">
        <v>37</v>
      </c>
      <c r="C53" s="125"/>
      <c r="D53" s="126"/>
      <c r="E53" s="125"/>
      <c r="F53" s="126"/>
      <c r="G53" s="125"/>
      <c r="H53" s="126"/>
      <c r="I53" s="125">
        <f t="shared" si="31"/>
        <v>0</v>
      </c>
      <c r="J53" s="126"/>
      <c r="K53" s="144"/>
      <c r="L53" s="145"/>
      <c r="M53" s="146">
        <f t="shared" si="32"/>
        <v>0</v>
      </c>
      <c r="N53" s="147"/>
      <c r="O53" s="2">
        <v>0.85</v>
      </c>
      <c r="P53" s="70">
        <f t="shared" si="33"/>
        <v>0</v>
      </c>
      <c r="Q53" s="57">
        <f t="shared" si="34"/>
        <v>0</v>
      </c>
      <c r="R53" s="57">
        <f t="shared" si="35"/>
        <v>0</v>
      </c>
      <c r="S53" s="57">
        <f t="shared" si="36"/>
        <v>0</v>
      </c>
      <c r="T53" s="58">
        <f t="shared" si="37"/>
        <v>0</v>
      </c>
    </row>
    <row r="54" spans="1:23" s="8" customFormat="1" x14ac:dyDescent="0.25">
      <c r="A54" s="4">
        <v>12</v>
      </c>
      <c r="B54" s="6" t="s">
        <v>39</v>
      </c>
      <c r="C54" s="125"/>
      <c r="D54" s="126"/>
      <c r="E54" s="125"/>
      <c r="F54" s="126"/>
      <c r="G54" s="125"/>
      <c r="H54" s="126"/>
      <c r="I54" s="125">
        <f t="shared" si="31"/>
        <v>0</v>
      </c>
      <c r="J54" s="126"/>
      <c r="K54" s="144"/>
      <c r="L54" s="145"/>
      <c r="M54" s="146">
        <f t="shared" si="32"/>
        <v>0</v>
      </c>
      <c r="N54" s="147"/>
      <c r="O54" s="2">
        <v>0.85</v>
      </c>
      <c r="P54" s="70">
        <f t="shared" si="33"/>
        <v>0</v>
      </c>
      <c r="Q54" s="57">
        <f t="shared" si="34"/>
        <v>0</v>
      </c>
      <c r="R54" s="57">
        <f t="shared" si="35"/>
        <v>0</v>
      </c>
      <c r="S54" s="57">
        <f t="shared" si="36"/>
        <v>0</v>
      </c>
      <c r="T54" s="58">
        <f t="shared" si="37"/>
        <v>0</v>
      </c>
    </row>
    <row r="55" spans="1:23" s="8" customFormat="1" x14ac:dyDescent="0.25">
      <c r="A55" s="4">
        <v>13</v>
      </c>
      <c r="B55" s="6" t="s">
        <v>50</v>
      </c>
      <c r="C55" s="125"/>
      <c r="D55" s="126"/>
      <c r="E55" s="125"/>
      <c r="F55" s="126"/>
      <c r="G55" s="125"/>
      <c r="H55" s="126"/>
      <c r="I55" s="125">
        <f t="shared" si="31"/>
        <v>0</v>
      </c>
      <c r="J55" s="126"/>
      <c r="K55" s="144"/>
      <c r="L55" s="145"/>
      <c r="M55" s="146">
        <f t="shared" si="32"/>
        <v>0</v>
      </c>
      <c r="N55" s="147"/>
      <c r="O55" s="2">
        <v>0.85</v>
      </c>
      <c r="P55" s="70">
        <f t="shared" si="33"/>
        <v>0</v>
      </c>
      <c r="Q55" s="57">
        <f t="shared" si="34"/>
        <v>0</v>
      </c>
      <c r="R55" s="57">
        <f t="shared" si="35"/>
        <v>0</v>
      </c>
      <c r="S55" s="57">
        <f t="shared" si="36"/>
        <v>0</v>
      </c>
      <c r="T55" s="58">
        <f t="shared" si="37"/>
        <v>0</v>
      </c>
    </row>
    <row r="56" spans="1:23" s="8" customFormat="1" x14ac:dyDescent="0.25">
      <c r="A56" s="4">
        <v>14</v>
      </c>
      <c r="B56" s="6" t="s">
        <v>46</v>
      </c>
      <c r="C56" s="125"/>
      <c r="D56" s="126"/>
      <c r="E56" s="125"/>
      <c r="F56" s="126"/>
      <c r="G56" s="125"/>
      <c r="H56" s="126"/>
      <c r="I56" s="125">
        <f t="shared" si="31"/>
        <v>0</v>
      </c>
      <c r="J56" s="126"/>
      <c r="K56" s="144"/>
      <c r="L56" s="145"/>
      <c r="M56" s="146">
        <f t="shared" si="32"/>
        <v>0</v>
      </c>
      <c r="N56" s="147"/>
      <c r="O56" s="2">
        <v>0.85</v>
      </c>
      <c r="P56" s="70">
        <f t="shared" si="33"/>
        <v>0</v>
      </c>
      <c r="Q56" s="57">
        <f t="shared" si="34"/>
        <v>0</v>
      </c>
      <c r="R56" s="57">
        <f t="shared" si="35"/>
        <v>0</v>
      </c>
      <c r="S56" s="57">
        <f t="shared" si="36"/>
        <v>0</v>
      </c>
      <c r="T56" s="58">
        <f t="shared" si="37"/>
        <v>0</v>
      </c>
    </row>
    <row r="57" spans="1:23" s="8" customFormat="1" x14ac:dyDescent="0.25">
      <c r="A57" s="4">
        <v>15</v>
      </c>
      <c r="B57" s="13" t="s">
        <v>40</v>
      </c>
      <c r="C57" s="125"/>
      <c r="D57" s="126"/>
      <c r="E57" s="125"/>
      <c r="F57" s="126"/>
      <c r="G57" s="125"/>
      <c r="H57" s="126"/>
      <c r="I57" s="125">
        <f t="shared" si="31"/>
        <v>0</v>
      </c>
      <c r="J57" s="126"/>
      <c r="K57" s="144"/>
      <c r="L57" s="145"/>
      <c r="M57" s="146">
        <f t="shared" si="32"/>
        <v>0</v>
      </c>
      <c r="N57" s="147"/>
      <c r="O57" s="2">
        <v>0.85</v>
      </c>
      <c r="P57" s="70">
        <f t="shared" si="33"/>
        <v>0</v>
      </c>
      <c r="Q57" s="57">
        <f t="shared" si="34"/>
        <v>0</v>
      </c>
      <c r="R57" s="57">
        <f t="shared" si="35"/>
        <v>0</v>
      </c>
      <c r="S57" s="57">
        <f t="shared" si="36"/>
        <v>0</v>
      </c>
      <c r="T57" s="58">
        <f t="shared" si="37"/>
        <v>0</v>
      </c>
    </row>
    <row r="58" spans="1:23" s="8" customFormat="1" x14ac:dyDescent="0.25">
      <c r="A58" s="4">
        <v>16</v>
      </c>
      <c r="B58" s="13" t="s">
        <v>41</v>
      </c>
      <c r="C58" s="125"/>
      <c r="D58" s="126"/>
      <c r="E58" s="125"/>
      <c r="F58" s="126"/>
      <c r="G58" s="125"/>
      <c r="H58" s="126"/>
      <c r="I58" s="125">
        <f t="shared" si="31"/>
        <v>0</v>
      </c>
      <c r="J58" s="126"/>
      <c r="K58" s="144"/>
      <c r="L58" s="145"/>
      <c r="M58" s="146">
        <f t="shared" si="32"/>
        <v>0</v>
      </c>
      <c r="N58" s="147"/>
      <c r="O58" s="2">
        <v>0.85</v>
      </c>
      <c r="P58" s="70">
        <f t="shared" si="33"/>
        <v>0</v>
      </c>
      <c r="Q58" s="57">
        <f t="shared" si="34"/>
        <v>0</v>
      </c>
      <c r="R58" s="57">
        <f t="shared" si="35"/>
        <v>0</v>
      </c>
      <c r="S58" s="57">
        <f t="shared" si="36"/>
        <v>0</v>
      </c>
      <c r="T58" s="58">
        <f t="shared" si="37"/>
        <v>0</v>
      </c>
    </row>
    <row r="59" spans="1:23" s="8" customFormat="1" x14ac:dyDescent="0.25">
      <c r="A59" s="4">
        <v>17</v>
      </c>
      <c r="B59" s="13" t="s">
        <v>42</v>
      </c>
      <c r="C59" s="125"/>
      <c r="D59" s="126"/>
      <c r="E59" s="125"/>
      <c r="F59" s="126"/>
      <c r="G59" s="125"/>
      <c r="H59" s="126"/>
      <c r="I59" s="125">
        <f t="shared" si="31"/>
        <v>0</v>
      </c>
      <c r="J59" s="126"/>
      <c r="K59" s="144"/>
      <c r="L59" s="145"/>
      <c r="M59" s="146">
        <f t="shared" si="32"/>
        <v>0</v>
      </c>
      <c r="N59" s="147"/>
      <c r="O59" s="2">
        <v>0.85</v>
      </c>
      <c r="P59" s="70">
        <f t="shared" si="33"/>
        <v>0</v>
      </c>
      <c r="Q59" s="57">
        <f t="shared" si="34"/>
        <v>0</v>
      </c>
      <c r="R59" s="57">
        <f t="shared" si="35"/>
        <v>0</v>
      </c>
      <c r="S59" s="57">
        <f t="shared" si="36"/>
        <v>0</v>
      </c>
      <c r="T59" s="58">
        <f t="shared" si="37"/>
        <v>0</v>
      </c>
    </row>
    <row r="60" spans="1:23" s="8" customFormat="1" x14ac:dyDescent="0.25">
      <c r="A60" s="4">
        <v>18</v>
      </c>
      <c r="B60" s="13" t="s">
        <v>51</v>
      </c>
      <c r="C60" s="125"/>
      <c r="D60" s="126"/>
      <c r="E60" s="125"/>
      <c r="F60" s="126"/>
      <c r="G60" s="125"/>
      <c r="H60" s="126"/>
      <c r="I60" s="125">
        <f t="shared" si="31"/>
        <v>0</v>
      </c>
      <c r="J60" s="126"/>
      <c r="K60" s="144"/>
      <c r="L60" s="145"/>
      <c r="M60" s="146">
        <f t="shared" si="32"/>
        <v>0</v>
      </c>
      <c r="N60" s="147"/>
      <c r="O60" s="2">
        <v>0.85</v>
      </c>
      <c r="P60" s="70">
        <f t="shared" si="33"/>
        <v>0</v>
      </c>
      <c r="Q60" s="57">
        <f t="shared" si="34"/>
        <v>0</v>
      </c>
      <c r="R60" s="57">
        <f t="shared" si="35"/>
        <v>0</v>
      </c>
      <c r="S60" s="57">
        <f t="shared" si="36"/>
        <v>0</v>
      </c>
      <c r="T60" s="58">
        <f t="shared" si="37"/>
        <v>0</v>
      </c>
    </row>
    <row r="61" spans="1:23" s="8" customFormat="1" x14ac:dyDescent="0.25">
      <c r="A61" s="4">
        <v>19</v>
      </c>
      <c r="B61" s="13" t="s">
        <v>43</v>
      </c>
      <c r="C61" s="125"/>
      <c r="D61" s="126"/>
      <c r="E61" s="125"/>
      <c r="F61" s="126"/>
      <c r="G61" s="125"/>
      <c r="H61" s="126"/>
      <c r="I61" s="125">
        <f t="shared" si="31"/>
        <v>0</v>
      </c>
      <c r="J61" s="126"/>
      <c r="K61" s="144"/>
      <c r="L61" s="145"/>
      <c r="M61" s="146">
        <f t="shared" si="32"/>
        <v>0</v>
      </c>
      <c r="N61" s="147"/>
      <c r="O61" s="2">
        <v>0.85</v>
      </c>
      <c r="P61" s="70">
        <f t="shared" si="33"/>
        <v>0</v>
      </c>
      <c r="Q61" s="57">
        <f t="shared" si="34"/>
        <v>0</v>
      </c>
      <c r="R61" s="57">
        <f t="shared" si="35"/>
        <v>0</v>
      </c>
      <c r="S61" s="57">
        <f t="shared" si="36"/>
        <v>0</v>
      </c>
      <c r="T61" s="58">
        <f t="shared" si="37"/>
        <v>0</v>
      </c>
    </row>
    <row r="62" spans="1:23" s="8" customFormat="1" ht="31.5" x14ac:dyDescent="0.25">
      <c r="A62" s="4">
        <v>20</v>
      </c>
      <c r="B62" s="13" t="s">
        <v>47</v>
      </c>
      <c r="C62" s="125"/>
      <c r="D62" s="126"/>
      <c r="E62" s="125"/>
      <c r="F62" s="126"/>
      <c r="G62" s="125"/>
      <c r="H62" s="126"/>
      <c r="I62" s="125">
        <f t="shared" si="31"/>
        <v>0</v>
      </c>
      <c r="J62" s="126"/>
      <c r="K62" s="144"/>
      <c r="L62" s="145"/>
      <c r="M62" s="146">
        <f t="shared" si="32"/>
        <v>0</v>
      </c>
      <c r="N62" s="147"/>
      <c r="O62" s="2">
        <v>0.85</v>
      </c>
      <c r="P62" s="70">
        <f t="shared" si="33"/>
        <v>0</v>
      </c>
      <c r="Q62" s="57">
        <f t="shared" si="34"/>
        <v>0</v>
      </c>
      <c r="R62" s="57">
        <f t="shared" si="35"/>
        <v>0</v>
      </c>
      <c r="S62" s="57">
        <f t="shared" si="36"/>
        <v>0</v>
      </c>
      <c r="T62" s="58">
        <f t="shared" si="37"/>
        <v>0</v>
      </c>
    </row>
    <row r="63" spans="1:23" s="8" customFormat="1" x14ac:dyDescent="0.25">
      <c r="A63" s="4">
        <v>27</v>
      </c>
      <c r="B63" s="13" t="s">
        <v>33</v>
      </c>
      <c r="C63" s="125"/>
      <c r="D63" s="126"/>
      <c r="E63" s="125"/>
      <c r="F63" s="126"/>
      <c r="G63" s="125"/>
      <c r="H63" s="126"/>
      <c r="I63" s="125">
        <f t="shared" si="31"/>
        <v>0</v>
      </c>
      <c r="J63" s="126"/>
      <c r="K63" s="144"/>
      <c r="L63" s="145"/>
      <c r="M63" s="211">
        <f t="shared" si="32"/>
        <v>0</v>
      </c>
      <c r="N63" s="212"/>
      <c r="O63" s="2">
        <v>0.85</v>
      </c>
      <c r="P63" s="70">
        <f>M63/O63</f>
        <v>0</v>
      </c>
      <c r="Q63" s="57">
        <f>P63*$Q$42</f>
        <v>0</v>
      </c>
      <c r="R63" s="57">
        <f t="shared" si="35"/>
        <v>0</v>
      </c>
      <c r="S63" s="57">
        <f>R63*$S$42</f>
        <v>0</v>
      </c>
      <c r="T63" s="58">
        <f t="shared" si="37"/>
        <v>0</v>
      </c>
    </row>
    <row r="64" spans="1:23" x14ac:dyDescent="0.25">
      <c r="A64" s="4">
        <v>28</v>
      </c>
      <c r="B64" s="6"/>
      <c r="C64" s="125"/>
      <c r="D64" s="126"/>
      <c r="E64" s="125"/>
      <c r="F64" s="126"/>
      <c r="G64" s="125"/>
      <c r="H64" s="126"/>
      <c r="I64" s="125">
        <f t="shared" si="31"/>
        <v>0</v>
      </c>
      <c r="J64" s="126"/>
      <c r="K64" s="144"/>
      <c r="L64" s="145"/>
      <c r="M64" s="146">
        <f>K64*I64</f>
        <v>0</v>
      </c>
      <c r="N64" s="147"/>
      <c r="O64" s="2">
        <v>0.85</v>
      </c>
      <c r="P64" s="70">
        <f>M64/O64</f>
        <v>0</v>
      </c>
      <c r="Q64" s="57">
        <f>P64*$Q$42</f>
        <v>0</v>
      </c>
      <c r="R64" s="57">
        <f t="shared" si="35"/>
        <v>0</v>
      </c>
      <c r="S64" s="57">
        <f t="shared" ref="S64:S65" si="38">R64*$S$42</f>
        <v>0</v>
      </c>
      <c r="T64" s="58">
        <f t="shared" si="37"/>
        <v>0</v>
      </c>
      <c r="U64" s="8"/>
      <c r="V64" s="8"/>
      <c r="W64" s="8"/>
    </row>
    <row r="65" spans="1:23" x14ac:dyDescent="0.25">
      <c r="A65" s="4">
        <v>29</v>
      </c>
      <c r="B65" s="1"/>
      <c r="C65" s="125"/>
      <c r="D65" s="126"/>
      <c r="E65" s="125"/>
      <c r="F65" s="126"/>
      <c r="G65" s="125"/>
      <c r="H65" s="126"/>
      <c r="I65" s="229">
        <f t="shared" si="31"/>
        <v>0</v>
      </c>
      <c r="J65" s="230"/>
      <c r="K65" s="144"/>
      <c r="L65" s="145"/>
      <c r="M65" s="146">
        <f>K65*I65</f>
        <v>0</v>
      </c>
      <c r="N65" s="147"/>
      <c r="O65" s="2">
        <v>0.85</v>
      </c>
      <c r="P65" s="70">
        <f t="shared" ref="P65" si="39">M65/O65</f>
        <v>0</v>
      </c>
      <c r="Q65" s="57">
        <f>P65*$Q$42</f>
        <v>0</v>
      </c>
      <c r="R65" s="57">
        <f t="shared" si="35"/>
        <v>0</v>
      </c>
      <c r="S65" s="57">
        <f t="shared" si="38"/>
        <v>0</v>
      </c>
      <c r="T65" s="58">
        <f t="shared" si="37"/>
        <v>0</v>
      </c>
      <c r="U65" s="8"/>
      <c r="V65" s="8"/>
      <c r="W65" s="8"/>
    </row>
    <row r="66" spans="1:23" s="7" customFormat="1" ht="16.5" thickBot="1" x14ac:dyDescent="0.3">
      <c r="A66" s="245" t="s">
        <v>13</v>
      </c>
      <c r="B66" s="246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71">
        <f>SUM(P43:P65)</f>
        <v>0</v>
      </c>
      <c r="Q66" s="72">
        <f t="shared" ref="Q66:T66" si="40">SUM(Q43:Q65)</f>
        <v>0</v>
      </c>
      <c r="R66" s="72">
        <f t="shared" si="40"/>
        <v>0</v>
      </c>
      <c r="S66" s="72">
        <f t="shared" si="40"/>
        <v>0</v>
      </c>
      <c r="T66" s="73">
        <f t="shared" si="40"/>
        <v>0</v>
      </c>
      <c r="U66" s="8"/>
      <c r="V66" s="8"/>
      <c r="W66" s="8"/>
    </row>
    <row r="67" spans="1:23" ht="16.5" thickTop="1" x14ac:dyDescent="0.25">
      <c r="A67" s="119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1"/>
      <c r="S67" s="8"/>
      <c r="T67" s="8"/>
      <c r="U67" s="8"/>
      <c r="V67" s="8" t="s">
        <v>58</v>
      </c>
      <c r="W67" s="8"/>
    </row>
    <row r="68" spans="1:23" x14ac:dyDescent="0.25">
      <c r="A68" s="122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4"/>
      <c r="S68" s="8"/>
      <c r="T68" s="8"/>
      <c r="U68" s="8"/>
      <c r="V68" s="8"/>
      <c r="W68" s="8"/>
    </row>
    <row r="69" spans="1:23" x14ac:dyDescent="0.25">
      <c r="A69" s="115" t="s">
        <v>11</v>
      </c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7"/>
      <c r="P69" s="21">
        <f>P28+P39+P66</f>
        <v>0</v>
      </c>
      <c r="Q69" s="21">
        <f t="shared" ref="Q69:T69" si="41">Q28+Q39+Q66</f>
        <v>0</v>
      </c>
      <c r="R69" s="21">
        <f t="shared" si="41"/>
        <v>0</v>
      </c>
      <c r="S69" s="21">
        <f t="shared" si="41"/>
        <v>0</v>
      </c>
      <c r="T69" s="21">
        <f t="shared" si="41"/>
        <v>0</v>
      </c>
      <c r="U69" s="8"/>
      <c r="V69" s="14">
        <f>P69+Q69+R69+S69+T69</f>
        <v>0</v>
      </c>
      <c r="W69" s="8"/>
    </row>
    <row r="70" spans="1:23" x14ac:dyDescent="0.25">
      <c r="A70" s="115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7"/>
      <c r="S70" s="8"/>
      <c r="T70" s="8"/>
      <c r="U70" s="8"/>
      <c r="V70" s="14"/>
      <c r="W70" s="8"/>
    </row>
    <row r="71" spans="1:23" x14ac:dyDescent="0.25">
      <c r="A71" s="115" t="s">
        <v>12</v>
      </c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7"/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8"/>
      <c r="V71" s="14">
        <f t="shared" ref="V71:V79" si="42">P71+Q71+R71+S71+T71</f>
        <v>0</v>
      </c>
      <c r="W71" s="8"/>
    </row>
    <row r="72" spans="1:23" x14ac:dyDescent="0.25">
      <c r="A72" s="115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7"/>
      <c r="S72" s="8"/>
      <c r="T72" s="8"/>
      <c r="U72" s="8"/>
      <c r="V72" s="14"/>
      <c r="W72" s="8"/>
    </row>
    <row r="73" spans="1:23" x14ac:dyDescent="0.25">
      <c r="A73" s="205" t="s">
        <v>17</v>
      </c>
      <c r="B73" s="205"/>
      <c r="C73" s="205"/>
      <c r="D73" s="205"/>
      <c r="E73" s="205"/>
      <c r="F73" s="205"/>
      <c r="G73" s="205"/>
      <c r="H73" s="205"/>
      <c r="I73" s="205"/>
      <c r="J73" s="205"/>
      <c r="K73" s="205"/>
      <c r="L73" s="205"/>
      <c r="M73" s="205"/>
      <c r="N73" s="205"/>
      <c r="O73" s="205"/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8"/>
      <c r="V73" s="14">
        <f t="shared" si="42"/>
        <v>0</v>
      </c>
      <c r="W73" s="8"/>
    </row>
    <row r="74" spans="1:23" x14ac:dyDescent="0.25">
      <c r="A74" s="115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7"/>
      <c r="S74" s="8"/>
      <c r="T74" s="8"/>
      <c r="U74" s="8"/>
      <c r="V74" s="14"/>
      <c r="W74" s="8"/>
    </row>
    <row r="75" spans="1:23" x14ac:dyDescent="0.25">
      <c r="A75" s="118" t="s">
        <v>59</v>
      </c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8"/>
      <c r="V75" s="14">
        <f t="shared" si="42"/>
        <v>0</v>
      </c>
      <c r="W75" s="8"/>
    </row>
    <row r="76" spans="1:23" ht="16.5" thickBot="1" x14ac:dyDescent="0.3">
      <c r="A76" s="206"/>
      <c r="B76" s="207"/>
      <c r="C76" s="207"/>
      <c r="D76" s="207"/>
      <c r="E76" s="207"/>
      <c r="F76" s="207"/>
      <c r="G76" s="207"/>
      <c r="H76" s="207"/>
      <c r="I76" s="207"/>
      <c r="J76" s="207"/>
      <c r="K76" s="207"/>
      <c r="L76" s="207"/>
      <c r="M76" s="207"/>
      <c r="N76" s="207"/>
      <c r="O76" s="207"/>
      <c r="P76" s="234"/>
      <c r="S76" s="8"/>
      <c r="T76" s="8"/>
      <c r="U76" s="8"/>
      <c r="V76" s="14"/>
      <c r="W76" s="8"/>
    </row>
    <row r="77" spans="1:23" ht="16.5" thickTop="1" x14ac:dyDescent="0.25">
      <c r="A77" s="115" t="s">
        <v>7</v>
      </c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74">
        <f>SUM(P69,P71,P73, P75)</f>
        <v>0</v>
      </c>
      <c r="Q77" s="75">
        <f t="shared" ref="Q77:T77" si="43">SUM(Q69,Q71,Q73, Q75)</f>
        <v>0</v>
      </c>
      <c r="R77" s="75">
        <f t="shared" si="43"/>
        <v>0</v>
      </c>
      <c r="S77" s="75">
        <f t="shared" si="43"/>
        <v>0</v>
      </c>
      <c r="T77" s="76">
        <f t="shared" si="43"/>
        <v>0</v>
      </c>
      <c r="U77" s="8"/>
      <c r="V77" s="14">
        <f t="shared" si="42"/>
        <v>0</v>
      </c>
      <c r="W77" s="8"/>
    </row>
    <row r="78" spans="1:23" x14ac:dyDescent="0.25">
      <c r="A78" s="115" t="s">
        <v>18</v>
      </c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77">
        <f>P77*0.13</f>
        <v>0</v>
      </c>
      <c r="Q78" s="21">
        <f t="shared" ref="Q78:T78" si="44">Q77*0.13</f>
        <v>0</v>
      </c>
      <c r="R78" s="21">
        <f t="shared" si="44"/>
        <v>0</v>
      </c>
      <c r="S78" s="21">
        <f t="shared" si="44"/>
        <v>0</v>
      </c>
      <c r="T78" s="78">
        <f t="shared" si="44"/>
        <v>0</v>
      </c>
      <c r="V78" s="14">
        <f t="shared" si="42"/>
        <v>0</v>
      </c>
    </row>
    <row r="79" spans="1:23" ht="16.5" thickBot="1" x14ac:dyDescent="0.3">
      <c r="A79" s="115" t="s">
        <v>19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79">
        <f>P77+P78</f>
        <v>0</v>
      </c>
      <c r="Q79" s="80">
        <f t="shared" ref="Q79:T79" si="45">Q77+Q78</f>
        <v>0</v>
      </c>
      <c r="R79" s="80">
        <f t="shared" si="45"/>
        <v>0</v>
      </c>
      <c r="S79" s="80">
        <f t="shared" si="45"/>
        <v>0</v>
      </c>
      <c r="T79" s="81">
        <f t="shared" si="45"/>
        <v>0</v>
      </c>
      <c r="V79" s="14">
        <f t="shared" si="42"/>
        <v>0</v>
      </c>
    </row>
    <row r="80" spans="1:23" ht="16.5" thickTop="1" x14ac:dyDescent="0.25">
      <c r="A80" s="12" t="s">
        <v>32</v>
      </c>
      <c r="P80" s="15">
        <f>P77*1.13</f>
        <v>0</v>
      </c>
      <c r="Q80" s="15">
        <f t="shared" ref="Q80:T80" si="46">Q77*1.13</f>
        <v>0</v>
      </c>
      <c r="R80" s="15">
        <f t="shared" si="46"/>
        <v>0</v>
      </c>
      <c r="S80" s="15">
        <f t="shared" si="46"/>
        <v>0</v>
      </c>
      <c r="T80" s="15">
        <f t="shared" si="46"/>
        <v>0</v>
      </c>
    </row>
    <row r="84" spans="2:11" x14ac:dyDescent="0.25">
      <c r="F84" s="7"/>
      <c r="G84" s="82"/>
    </row>
    <row r="85" spans="2:11" ht="32.25" customHeight="1" x14ac:dyDescent="0.25">
      <c r="C85" s="197">
        <v>2026</v>
      </c>
      <c r="D85" s="197"/>
      <c r="E85" s="197"/>
      <c r="F85" s="197"/>
      <c r="G85" s="197"/>
      <c r="H85" s="197"/>
      <c r="I85" s="197"/>
    </row>
    <row r="86" spans="2:11" ht="16.5" thickBot="1" x14ac:dyDescent="0.3">
      <c r="F86" s="7"/>
      <c r="G86" s="82"/>
    </row>
    <row r="87" spans="2:11" ht="32.25" thickBot="1" x14ac:dyDescent="0.3">
      <c r="B87" s="12" t="s">
        <v>106</v>
      </c>
      <c r="C87" s="97" t="s">
        <v>91</v>
      </c>
      <c r="D87" s="200" t="s">
        <v>93</v>
      </c>
      <c r="E87" s="200"/>
      <c r="F87" s="98" t="s">
        <v>92</v>
      </c>
      <c r="G87" s="98" t="s">
        <v>94</v>
      </c>
      <c r="H87" s="99" t="s">
        <v>95</v>
      </c>
      <c r="I87" s="99" t="s">
        <v>96</v>
      </c>
    </row>
    <row r="88" spans="2:11" x14ac:dyDescent="0.25">
      <c r="B88" s="82" t="s">
        <v>84</v>
      </c>
      <c r="C88" s="93">
        <v>102</v>
      </c>
      <c r="D88" s="113">
        <f>C88+18.5</f>
        <v>120.5</v>
      </c>
      <c r="E88" s="113"/>
      <c r="F88" s="94">
        <v>203.99</v>
      </c>
      <c r="G88" s="94">
        <f>F88+18.5</f>
        <v>222.49</v>
      </c>
      <c r="H88" s="95">
        <v>122.38</v>
      </c>
      <c r="I88" s="96">
        <f>H88+18.5</f>
        <v>140.88</v>
      </c>
      <c r="J88" s="17"/>
      <c r="K88" s="17"/>
    </row>
    <row r="89" spans="2:11" x14ac:dyDescent="0.25">
      <c r="B89" s="82" t="s">
        <v>85</v>
      </c>
      <c r="C89" s="90">
        <v>90.93</v>
      </c>
      <c r="D89" s="114">
        <f t="shared" ref="D89:D95" si="47">C89+18.5</f>
        <v>109.43</v>
      </c>
      <c r="E89" s="114"/>
      <c r="F89" s="91">
        <v>181.86</v>
      </c>
      <c r="G89" s="94">
        <f t="shared" ref="G89:G95" si="48">F89+18.5</f>
        <v>200.36</v>
      </c>
      <c r="H89" s="92">
        <v>109.13</v>
      </c>
      <c r="I89" s="96">
        <f t="shared" ref="I89:I95" si="49">H89+18.5</f>
        <v>127.63</v>
      </c>
      <c r="J89" s="17"/>
      <c r="K89" s="17"/>
    </row>
    <row r="90" spans="2:11" x14ac:dyDescent="0.25">
      <c r="B90" s="82" t="s">
        <v>86</v>
      </c>
      <c r="C90" s="90">
        <v>74.010000000000005</v>
      </c>
      <c r="D90" s="114">
        <f t="shared" si="47"/>
        <v>92.51</v>
      </c>
      <c r="E90" s="114"/>
      <c r="F90" s="91">
        <v>147.97999999999999</v>
      </c>
      <c r="G90" s="94">
        <f t="shared" si="48"/>
        <v>166.48</v>
      </c>
      <c r="H90" s="92">
        <v>88.78</v>
      </c>
      <c r="I90" s="96">
        <f t="shared" si="49"/>
        <v>107.28</v>
      </c>
      <c r="J90" s="17"/>
      <c r="K90" s="17"/>
    </row>
    <row r="91" spans="2:11" x14ac:dyDescent="0.25">
      <c r="B91" s="82" t="s">
        <v>87</v>
      </c>
      <c r="C91" s="90">
        <v>65.650000000000006</v>
      </c>
      <c r="D91" s="114">
        <f t="shared" si="47"/>
        <v>84.15</v>
      </c>
      <c r="E91" s="114"/>
      <c r="F91" s="91">
        <v>131.30000000000001</v>
      </c>
      <c r="G91" s="94">
        <f t="shared" si="48"/>
        <v>149.80000000000001</v>
      </c>
      <c r="H91" s="92">
        <v>78.790000000000006</v>
      </c>
      <c r="I91" s="96">
        <f t="shared" si="49"/>
        <v>97.29</v>
      </c>
      <c r="J91" s="17"/>
      <c r="K91" s="17"/>
    </row>
    <row r="92" spans="2:11" x14ac:dyDescent="0.25">
      <c r="B92" s="82" t="s">
        <v>88</v>
      </c>
      <c r="C92" s="90">
        <v>57.28</v>
      </c>
      <c r="D92" s="114">
        <f t="shared" si="47"/>
        <v>75.78</v>
      </c>
      <c r="E92" s="114"/>
      <c r="F92" s="91">
        <v>114.57</v>
      </c>
      <c r="G92" s="94">
        <f t="shared" si="48"/>
        <v>133.07</v>
      </c>
      <c r="H92" s="92">
        <v>68.739999999999995</v>
      </c>
      <c r="I92" s="96">
        <f t="shared" si="49"/>
        <v>87.24</v>
      </c>
      <c r="J92" s="17"/>
      <c r="K92" s="17"/>
    </row>
    <row r="93" spans="2:11" x14ac:dyDescent="0.25">
      <c r="B93" s="82" t="s">
        <v>89</v>
      </c>
      <c r="C93" s="90">
        <v>48.95</v>
      </c>
      <c r="D93" s="114">
        <f t="shared" si="47"/>
        <v>67.45</v>
      </c>
      <c r="E93" s="114"/>
      <c r="F93" s="91">
        <v>97.85</v>
      </c>
      <c r="G93" s="94">
        <f t="shared" si="48"/>
        <v>116.35</v>
      </c>
      <c r="H93" s="92">
        <v>58.71</v>
      </c>
      <c r="I93" s="96">
        <f t="shared" si="49"/>
        <v>77.210000000000008</v>
      </c>
      <c r="J93" s="17"/>
      <c r="K93" s="17"/>
    </row>
    <row r="94" spans="2:11" ht="32.25" customHeight="1" x14ac:dyDescent="0.25">
      <c r="B94" s="82" t="s">
        <v>90</v>
      </c>
      <c r="C94" s="90">
        <v>40.57</v>
      </c>
      <c r="D94" s="114">
        <f t="shared" si="47"/>
        <v>59.07</v>
      </c>
      <c r="E94" s="114"/>
      <c r="F94" s="91">
        <v>81.150000000000006</v>
      </c>
      <c r="G94" s="94">
        <f t="shared" si="48"/>
        <v>99.65</v>
      </c>
      <c r="H94" s="92">
        <v>48.69</v>
      </c>
      <c r="I94" s="96">
        <f t="shared" si="49"/>
        <v>67.19</v>
      </c>
      <c r="J94" s="17"/>
      <c r="K94" s="17"/>
    </row>
    <row r="95" spans="2:11" x14ac:dyDescent="0.25">
      <c r="B95" s="82" t="s">
        <v>112</v>
      </c>
      <c r="C95" s="90">
        <v>32.43</v>
      </c>
      <c r="D95" s="114">
        <f t="shared" si="47"/>
        <v>50.93</v>
      </c>
      <c r="E95" s="114"/>
      <c r="F95" s="91">
        <v>64.86</v>
      </c>
      <c r="G95" s="94">
        <f t="shared" si="48"/>
        <v>83.36</v>
      </c>
      <c r="H95" s="92">
        <v>38.92</v>
      </c>
      <c r="I95" s="96">
        <f t="shared" si="49"/>
        <v>57.42</v>
      </c>
      <c r="J95" s="17"/>
      <c r="K95" s="17"/>
    </row>
    <row r="96" spans="2:11" ht="16.5" thickBot="1" x14ac:dyDescent="0.3">
      <c r="D96" s="198"/>
      <c r="E96" s="199"/>
    </row>
    <row r="97" spans="2:11" ht="32.25" thickBot="1" x14ac:dyDescent="0.3">
      <c r="B97" s="12" t="s">
        <v>107</v>
      </c>
      <c r="C97" s="97" t="s">
        <v>91</v>
      </c>
      <c r="D97" s="200" t="s">
        <v>93</v>
      </c>
      <c r="E97" s="200"/>
      <c r="F97" s="98" t="s">
        <v>92</v>
      </c>
      <c r="G97" s="98" t="s">
        <v>94</v>
      </c>
      <c r="H97" s="99" t="s">
        <v>95</v>
      </c>
      <c r="I97" s="99" t="s">
        <v>96</v>
      </c>
      <c r="K97" s="100" t="s">
        <v>16</v>
      </c>
    </row>
    <row r="98" spans="2:11" x14ac:dyDescent="0.25">
      <c r="B98" s="82" t="s">
        <v>84</v>
      </c>
      <c r="C98" s="101">
        <f>C88/$K$98</f>
        <v>127.5</v>
      </c>
      <c r="D98" s="201">
        <f>D88/$K$98</f>
        <v>150.625</v>
      </c>
      <c r="E98" s="202"/>
      <c r="F98" s="101">
        <f>F88/$K$98</f>
        <v>254.98750000000001</v>
      </c>
      <c r="G98" s="101">
        <f>G88/$K$98</f>
        <v>278.11250000000001</v>
      </c>
      <c r="H98" s="101">
        <f>H88/$K$98</f>
        <v>152.97499999999999</v>
      </c>
      <c r="I98" s="101">
        <f>I88/$K$98</f>
        <v>176.1</v>
      </c>
      <c r="K98" s="2">
        <v>0.8</v>
      </c>
    </row>
    <row r="99" spans="2:11" x14ac:dyDescent="0.25">
      <c r="B99" s="82" t="s">
        <v>85</v>
      </c>
      <c r="C99" s="101">
        <f t="shared" ref="C99:D105" si="50">C89/$K$98</f>
        <v>113.66250000000001</v>
      </c>
      <c r="D99" s="114">
        <f t="shared" si="50"/>
        <v>136.78749999999999</v>
      </c>
      <c r="E99" s="114"/>
      <c r="F99" s="101">
        <f t="shared" ref="F99:G105" si="51">F89/$K$98</f>
        <v>227.32500000000002</v>
      </c>
      <c r="G99" s="101">
        <f>G89/$K$98</f>
        <v>250.45000000000002</v>
      </c>
      <c r="H99" s="101">
        <f t="shared" ref="H99:I105" si="52">H89/$K$98</f>
        <v>136.41249999999999</v>
      </c>
      <c r="I99" s="101">
        <f t="shared" si="52"/>
        <v>159.53749999999999</v>
      </c>
    </row>
    <row r="100" spans="2:11" x14ac:dyDescent="0.25">
      <c r="B100" s="82" t="s">
        <v>86</v>
      </c>
      <c r="C100" s="101">
        <f t="shared" si="50"/>
        <v>92.512500000000003</v>
      </c>
      <c r="D100" s="114">
        <f t="shared" si="50"/>
        <v>115.6375</v>
      </c>
      <c r="E100" s="114"/>
      <c r="F100" s="101">
        <f t="shared" si="51"/>
        <v>184.97499999999997</v>
      </c>
      <c r="G100" s="101">
        <f t="shared" si="51"/>
        <v>208.09999999999997</v>
      </c>
      <c r="H100" s="101">
        <f t="shared" si="52"/>
        <v>110.97499999999999</v>
      </c>
      <c r="I100" s="101">
        <f t="shared" si="52"/>
        <v>134.1</v>
      </c>
    </row>
    <row r="101" spans="2:11" x14ac:dyDescent="0.25">
      <c r="B101" s="82" t="s">
        <v>87</v>
      </c>
      <c r="C101" s="101">
        <f t="shared" si="50"/>
        <v>82.0625</v>
      </c>
      <c r="D101" s="114">
        <f t="shared" si="50"/>
        <v>105.1875</v>
      </c>
      <c r="E101" s="114"/>
      <c r="F101" s="101">
        <f t="shared" si="51"/>
        <v>164.125</v>
      </c>
      <c r="G101" s="101">
        <f t="shared" si="51"/>
        <v>187.25</v>
      </c>
      <c r="H101" s="101">
        <f t="shared" si="52"/>
        <v>98.487499999999997</v>
      </c>
      <c r="I101" s="101">
        <f t="shared" si="52"/>
        <v>121.6125</v>
      </c>
    </row>
    <row r="102" spans="2:11" x14ac:dyDescent="0.25">
      <c r="B102" s="82" t="s">
        <v>88</v>
      </c>
      <c r="C102" s="101">
        <f t="shared" si="50"/>
        <v>71.599999999999994</v>
      </c>
      <c r="D102" s="114">
        <f t="shared" si="50"/>
        <v>94.724999999999994</v>
      </c>
      <c r="E102" s="114"/>
      <c r="F102" s="101">
        <f t="shared" si="51"/>
        <v>143.21249999999998</v>
      </c>
      <c r="G102" s="101">
        <f t="shared" si="51"/>
        <v>166.33749999999998</v>
      </c>
      <c r="H102" s="101">
        <f t="shared" si="52"/>
        <v>85.924999999999983</v>
      </c>
      <c r="I102" s="101">
        <f t="shared" si="52"/>
        <v>109.04999999999998</v>
      </c>
    </row>
    <row r="103" spans="2:11" x14ac:dyDescent="0.25">
      <c r="B103" s="82" t="s">
        <v>89</v>
      </c>
      <c r="C103" s="101">
        <f t="shared" si="50"/>
        <v>61.1875</v>
      </c>
      <c r="D103" s="114">
        <f t="shared" si="50"/>
        <v>84.3125</v>
      </c>
      <c r="E103" s="114"/>
      <c r="F103" s="101">
        <f t="shared" si="51"/>
        <v>122.31249999999999</v>
      </c>
      <c r="G103" s="101">
        <f t="shared" si="51"/>
        <v>145.43749999999997</v>
      </c>
      <c r="H103" s="101">
        <f t="shared" si="52"/>
        <v>73.387500000000003</v>
      </c>
      <c r="I103" s="101">
        <f t="shared" si="52"/>
        <v>96.512500000000003</v>
      </c>
    </row>
    <row r="104" spans="2:11" x14ac:dyDescent="0.25">
      <c r="B104" s="82" t="s">
        <v>90</v>
      </c>
      <c r="C104" s="101">
        <f t="shared" si="50"/>
        <v>50.712499999999999</v>
      </c>
      <c r="D104" s="114">
        <f t="shared" si="50"/>
        <v>73.837499999999991</v>
      </c>
      <c r="E104" s="114"/>
      <c r="F104" s="101">
        <f t="shared" si="51"/>
        <v>101.4375</v>
      </c>
      <c r="G104" s="101">
        <f t="shared" si="51"/>
        <v>124.5625</v>
      </c>
      <c r="H104" s="101">
        <f t="shared" si="52"/>
        <v>60.862499999999997</v>
      </c>
      <c r="I104" s="101">
        <f t="shared" si="52"/>
        <v>83.987499999999997</v>
      </c>
    </row>
    <row r="105" spans="2:11" x14ac:dyDescent="0.25">
      <c r="B105" s="12" t="s">
        <v>112</v>
      </c>
      <c r="C105" s="101">
        <f t="shared" si="50"/>
        <v>40.537499999999994</v>
      </c>
      <c r="D105" s="114">
        <f t="shared" si="50"/>
        <v>63.662499999999994</v>
      </c>
      <c r="E105" s="114"/>
      <c r="F105" s="101">
        <f t="shared" si="51"/>
        <v>81.074999999999989</v>
      </c>
      <c r="G105" s="101">
        <f t="shared" si="51"/>
        <v>104.19999999999999</v>
      </c>
      <c r="H105" s="101">
        <f t="shared" si="52"/>
        <v>48.65</v>
      </c>
      <c r="I105" s="101">
        <f t="shared" si="52"/>
        <v>71.774999999999991</v>
      </c>
    </row>
    <row r="106" spans="2:11" x14ac:dyDescent="0.25">
      <c r="D106" s="112"/>
      <c r="E106" s="112"/>
    </row>
    <row r="107" spans="2:11" x14ac:dyDescent="0.25">
      <c r="B107" s="12" t="s">
        <v>98</v>
      </c>
      <c r="C107" s="12" t="s">
        <v>99</v>
      </c>
    </row>
    <row r="108" spans="2:11" x14ac:dyDescent="0.25">
      <c r="B108" s="12" t="s">
        <v>100</v>
      </c>
      <c r="C108" s="12">
        <v>8.6999999999999993</v>
      </c>
      <c r="G108" s="112">
        <v>2500000</v>
      </c>
      <c r="H108" s="112"/>
      <c r="I108" s="17">
        <f>G108/1000*C108</f>
        <v>21750</v>
      </c>
    </row>
    <row r="109" spans="2:11" x14ac:dyDescent="0.25">
      <c r="B109" s="12" t="s">
        <v>101</v>
      </c>
      <c r="C109" s="12">
        <v>7.9</v>
      </c>
      <c r="G109" s="112">
        <v>2500000</v>
      </c>
      <c r="H109" s="112"/>
      <c r="I109" s="17">
        <f>G109/1000*C109</f>
        <v>19750</v>
      </c>
    </row>
    <row r="110" spans="2:11" x14ac:dyDescent="0.25">
      <c r="B110" s="12" t="s">
        <v>102</v>
      </c>
      <c r="C110" s="12">
        <v>6.95</v>
      </c>
      <c r="G110" s="112">
        <v>2500000</v>
      </c>
      <c r="H110" s="112"/>
      <c r="I110" s="17">
        <f>G110/1000*C110</f>
        <v>17375</v>
      </c>
    </row>
    <row r="111" spans="2:11" x14ac:dyDescent="0.25">
      <c r="B111" s="12" t="s">
        <v>108</v>
      </c>
      <c r="I111" s="17">
        <f>I108+I109+I110</f>
        <v>58875</v>
      </c>
    </row>
    <row r="112" spans="2:11" x14ac:dyDescent="0.25">
      <c r="B112" s="12" t="s">
        <v>103</v>
      </c>
      <c r="C112" s="12">
        <v>12</v>
      </c>
      <c r="I112" s="17">
        <f>I111*C112*0.01</f>
        <v>7065</v>
      </c>
    </row>
    <row r="113" spans="2:9" x14ac:dyDescent="0.25">
      <c r="B113" s="12" t="s">
        <v>104</v>
      </c>
      <c r="I113" s="17">
        <f>I111+I112</f>
        <v>65940</v>
      </c>
    </row>
    <row r="114" spans="2:9" x14ac:dyDescent="0.25">
      <c r="B114" s="12" t="s">
        <v>105</v>
      </c>
      <c r="I114" s="17">
        <f>I113/0.9</f>
        <v>73266.666666666672</v>
      </c>
    </row>
  </sheetData>
  <mergeCells count="275">
    <mergeCell ref="G108:H108"/>
    <mergeCell ref="G109:H109"/>
    <mergeCell ref="G110:H110"/>
    <mergeCell ref="C62:D62"/>
    <mergeCell ref="A66:O66"/>
    <mergeCell ref="A67:P68"/>
    <mergeCell ref="E62:F62"/>
    <mergeCell ref="G62:H62"/>
    <mergeCell ref="I62:J62"/>
    <mergeCell ref="K62:L62"/>
    <mergeCell ref="M62:N62"/>
    <mergeCell ref="E64:F64"/>
    <mergeCell ref="G64:H64"/>
    <mergeCell ref="I64:J64"/>
    <mergeCell ref="K64:L64"/>
    <mergeCell ref="M64:N64"/>
    <mergeCell ref="C63:D63"/>
    <mergeCell ref="E63:F63"/>
    <mergeCell ref="G63:H63"/>
    <mergeCell ref="I63:J63"/>
    <mergeCell ref="K63:L63"/>
    <mergeCell ref="M63:N63"/>
    <mergeCell ref="A1:T2"/>
    <mergeCell ref="A7:T7"/>
    <mergeCell ref="A17:T17"/>
    <mergeCell ref="A18:T18"/>
    <mergeCell ref="L5:L6"/>
    <mergeCell ref="M5:M6"/>
    <mergeCell ref="N5:N6"/>
    <mergeCell ref="S4:S5"/>
    <mergeCell ref="C5:C6"/>
    <mergeCell ref="D5:D6"/>
    <mergeCell ref="E5:E6"/>
    <mergeCell ref="F5:F6"/>
    <mergeCell ref="G5:G6"/>
    <mergeCell ref="H5:H6"/>
    <mergeCell ref="I5:I6"/>
    <mergeCell ref="A3:T3"/>
    <mergeCell ref="A79:O79"/>
    <mergeCell ref="A73:O73"/>
    <mergeCell ref="A74:P74"/>
    <mergeCell ref="A75:O75"/>
    <mergeCell ref="A76:P76"/>
    <mergeCell ref="A77:O77"/>
    <mergeCell ref="A78:O78"/>
    <mergeCell ref="C61:D61"/>
    <mergeCell ref="E61:F61"/>
    <mergeCell ref="G61:H61"/>
    <mergeCell ref="I61:J61"/>
    <mergeCell ref="K61:L61"/>
    <mergeCell ref="M61:N61"/>
    <mergeCell ref="A71:O71"/>
    <mergeCell ref="A72:P72"/>
    <mergeCell ref="C65:D65"/>
    <mergeCell ref="E65:F65"/>
    <mergeCell ref="G65:H65"/>
    <mergeCell ref="I65:J65"/>
    <mergeCell ref="A69:O69"/>
    <mergeCell ref="A70:P70"/>
    <mergeCell ref="K65:L65"/>
    <mergeCell ref="M65:N65"/>
    <mergeCell ref="C64:D64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M59:N59"/>
    <mergeCell ref="C58:D58"/>
    <mergeCell ref="E58:F58"/>
    <mergeCell ref="G58:H58"/>
    <mergeCell ref="I58:J58"/>
    <mergeCell ref="K58:L58"/>
    <mergeCell ref="M58:N58"/>
    <mergeCell ref="C57:D57"/>
    <mergeCell ref="E57:F57"/>
    <mergeCell ref="G57:H57"/>
    <mergeCell ref="I57:J57"/>
    <mergeCell ref="K57:L57"/>
    <mergeCell ref="M57:N57"/>
    <mergeCell ref="C56:D56"/>
    <mergeCell ref="E56:F56"/>
    <mergeCell ref="G56:H56"/>
    <mergeCell ref="I56:J56"/>
    <mergeCell ref="K56:L56"/>
    <mergeCell ref="M56:N56"/>
    <mergeCell ref="C55:D55"/>
    <mergeCell ref="E55:F55"/>
    <mergeCell ref="G55:H55"/>
    <mergeCell ref="I55:J55"/>
    <mergeCell ref="K55:L55"/>
    <mergeCell ref="M55:N55"/>
    <mergeCell ref="C54:D54"/>
    <mergeCell ref="E54:F54"/>
    <mergeCell ref="G54:H54"/>
    <mergeCell ref="I54:J54"/>
    <mergeCell ref="K54:L54"/>
    <mergeCell ref="M54:N54"/>
    <mergeCell ref="C53:D53"/>
    <mergeCell ref="E53:F53"/>
    <mergeCell ref="G53:H53"/>
    <mergeCell ref="I53:J53"/>
    <mergeCell ref="K53:L53"/>
    <mergeCell ref="M53:N53"/>
    <mergeCell ref="C52:D52"/>
    <mergeCell ref="E52:F52"/>
    <mergeCell ref="G52:H52"/>
    <mergeCell ref="I52:J52"/>
    <mergeCell ref="K52:L52"/>
    <mergeCell ref="M52:N52"/>
    <mergeCell ref="C51:D51"/>
    <mergeCell ref="E51:F51"/>
    <mergeCell ref="G51:H51"/>
    <mergeCell ref="I51:J51"/>
    <mergeCell ref="K51:L51"/>
    <mergeCell ref="M51:N51"/>
    <mergeCell ref="C50:D50"/>
    <mergeCell ref="E50:F50"/>
    <mergeCell ref="G50:H50"/>
    <mergeCell ref="I50:J50"/>
    <mergeCell ref="K50:L50"/>
    <mergeCell ref="M50:N50"/>
    <mergeCell ref="C49:D49"/>
    <mergeCell ref="E49:F49"/>
    <mergeCell ref="G49:H49"/>
    <mergeCell ref="I49:J49"/>
    <mergeCell ref="K49:L49"/>
    <mergeCell ref="M49:N49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M46:N46"/>
    <mergeCell ref="C45:D45"/>
    <mergeCell ref="E45:F45"/>
    <mergeCell ref="G45:H45"/>
    <mergeCell ref="I45:J45"/>
    <mergeCell ref="K45:L45"/>
    <mergeCell ref="M45:N45"/>
    <mergeCell ref="C44:D44"/>
    <mergeCell ref="E44:F44"/>
    <mergeCell ref="G44:H44"/>
    <mergeCell ref="I44:J44"/>
    <mergeCell ref="K44:L44"/>
    <mergeCell ref="M44:N44"/>
    <mergeCell ref="C43:D43"/>
    <mergeCell ref="E43:F43"/>
    <mergeCell ref="G43:H43"/>
    <mergeCell ref="I43:J43"/>
    <mergeCell ref="K43:L43"/>
    <mergeCell ref="M43:N43"/>
    <mergeCell ref="M38:N38"/>
    <mergeCell ref="C37:D37"/>
    <mergeCell ref="E37:F37"/>
    <mergeCell ref="G37:H37"/>
    <mergeCell ref="I37:J37"/>
    <mergeCell ref="K37:L37"/>
    <mergeCell ref="M37:N37"/>
    <mergeCell ref="A40:T40"/>
    <mergeCell ref="A41:A42"/>
    <mergeCell ref="B41:B42"/>
    <mergeCell ref="C41:D42"/>
    <mergeCell ref="E41:F42"/>
    <mergeCell ref="G41:H42"/>
    <mergeCell ref="I41:J42"/>
    <mergeCell ref="K41:L42"/>
    <mergeCell ref="M41:N42"/>
    <mergeCell ref="A39:O39"/>
    <mergeCell ref="O41:O42"/>
    <mergeCell ref="C38:D38"/>
    <mergeCell ref="E38:F38"/>
    <mergeCell ref="G38:H38"/>
    <mergeCell ref="I38:J38"/>
    <mergeCell ref="K38:L38"/>
    <mergeCell ref="P41:P42"/>
    <mergeCell ref="C36:D36"/>
    <mergeCell ref="E36:F36"/>
    <mergeCell ref="G36:H36"/>
    <mergeCell ref="I36:J36"/>
    <mergeCell ref="K36:L36"/>
    <mergeCell ref="M36:N36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M34:N34"/>
    <mergeCell ref="A30:A31"/>
    <mergeCell ref="B30:B31"/>
    <mergeCell ref="A16:E16"/>
    <mergeCell ref="I16:K16"/>
    <mergeCell ref="A27:E27"/>
    <mergeCell ref="G27:G28"/>
    <mergeCell ref="I27:K28"/>
    <mergeCell ref="M27:M28"/>
    <mergeCell ref="C33:D33"/>
    <mergeCell ref="E33:F33"/>
    <mergeCell ref="G33:H33"/>
    <mergeCell ref="I33:J33"/>
    <mergeCell ref="K33:L33"/>
    <mergeCell ref="M33:N33"/>
    <mergeCell ref="C32:D32"/>
    <mergeCell ref="E32:F32"/>
    <mergeCell ref="G32:H32"/>
    <mergeCell ref="I32:J32"/>
    <mergeCell ref="K32:L32"/>
    <mergeCell ref="M32:N32"/>
    <mergeCell ref="A29:T29"/>
    <mergeCell ref="A4:A6"/>
    <mergeCell ref="B4:B6"/>
    <mergeCell ref="C4:H4"/>
    <mergeCell ref="I4:N4"/>
    <mergeCell ref="O4:O6"/>
    <mergeCell ref="P4:P6"/>
    <mergeCell ref="J5:J6"/>
    <mergeCell ref="K5:K6"/>
    <mergeCell ref="A28:E28"/>
    <mergeCell ref="Q4:Q5"/>
    <mergeCell ref="R4:R5"/>
    <mergeCell ref="O30:O31"/>
    <mergeCell ref="P30:P31"/>
    <mergeCell ref="C30:D31"/>
    <mergeCell ref="E30:F31"/>
    <mergeCell ref="G30:H31"/>
    <mergeCell ref="I30:J31"/>
    <mergeCell ref="K30:L31"/>
    <mergeCell ref="M30:N31"/>
    <mergeCell ref="O27:O28"/>
    <mergeCell ref="T4:T5"/>
    <mergeCell ref="D87:E87"/>
    <mergeCell ref="D88:E88"/>
    <mergeCell ref="D89:E89"/>
    <mergeCell ref="D90:E90"/>
    <mergeCell ref="D91:E91"/>
    <mergeCell ref="D92:E92"/>
    <mergeCell ref="D93:E93"/>
    <mergeCell ref="C85:I85"/>
    <mergeCell ref="D103:E103"/>
    <mergeCell ref="D94:E94"/>
    <mergeCell ref="D95:E95"/>
    <mergeCell ref="D96:E96"/>
    <mergeCell ref="D97:E97"/>
    <mergeCell ref="D98:E98"/>
    <mergeCell ref="D99:E99"/>
    <mergeCell ref="D100:E100"/>
    <mergeCell ref="D101:E101"/>
    <mergeCell ref="D102:E102"/>
    <mergeCell ref="D104:E104"/>
    <mergeCell ref="D105:E105"/>
    <mergeCell ref="D106:E106"/>
  </mergeCells>
  <phoneticPr fontId="10" type="noConversion"/>
  <dataValidations count="2">
    <dataValidation type="list" allowBlank="1" showInputMessage="1" showErrorMessage="1" sqref="Q6:T6 Q31:T31 Q42:T42" xr:uid="{CAC054B9-7F3C-434C-8D52-D0D2D37EE290}">
      <formula1>"1,1.01,1.02,1.03,1.04,1.05,1.06,1.07,1.08,1.09,1.1"</formula1>
    </dataValidation>
    <dataValidation type="list" allowBlank="1" showInputMessage="1" showErrorMessage="1" sqref="O8:O15 O43:O65 O32:O38 O19:O26 K98" xr:uid="{75E46A26-7421-4426-870A-10B4E9887C40}">
      <formula1>"1,.95,.94,.93,.92,.91,.9,.89,.88,.87,.86,.85,.84,.83,.82,.81,.8,.79,.78,.77,.76,.75,.74,.73,.72,.71,.7,.66"</formula1>
    </dataValidation>
  </dataValidations>
  <printOptions horizontalCentered="1" verticalCentered="1"/>
  <pageMargins left="0.45" right="0.45" top="0.75" bottom="0.75" header="0.3" footer="0.3"/>
  <pageSetup paperSize="17" scale="72" fitToHeight="0" orientation="portrait" horizontalDpi="300" verticalDpi="300" r:id="rId1"/>
  <colBreaks count="1" manualBreakCount="1">
    <brk id="16" max="83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Pricing</vt:lpstr>
      <vt:lpstr>Multi Year Contract Pricing</vt:lpstr>
      <vt:lpstr>'Multi Year Contract Pricing'!Print_Area</vt:lpstr>
      <vt:lpstr>Pricing!Print_Area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Riaboy</dc:creator>
  <cp:lastModifiedBy>Eric Riaboy</cp:lastModifiedBy>
  <cp:lastPrinted>2013-04-22T15:15:09Z</cp:lastPrinted>
  <dcterms:created xsi:type="dcterms:W3CDTF">2010-08-27T19:16:32Z</dcterms:created>
  <dcterms:modified xsi:type="dcterms:W3CDTF">2026-06-17T18:41:17Z</dcterms:modified>
</cp:coreProperties>
</file>